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skro\mv-course\"/>
    </mc:Choice>
  </mc:AlternateContent>
  <xr:revisionPtr revIDLastSave="0" documentId="8_{AAC6527C-AABA-40B7-8AC9-41F69495312E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Least Squares Formula" sheetId="1" r:id="rId1"/>
    <sheet name="Student Explainer" sheetId="2" r:id="rId2"/>
    <sheet name="Worked Example" sheetId="3" r:id="rId3"/>
    <sheet name="Exercise" sheetId="4" r:id="rId4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7" i="4" l="1"/>
  <c r="C67" i="4"/>
  <c r="B66" i="4"/>
  <c r="C66" i="4"/>
  <c r="B65" i="4"/>
  <c r="C65" i="4"/>
  <c r="B64" i="4"/>
  <c r="C64" i="4"/>
  <c r="B63" i="4"/>
  <c r="C63" i="4"/>
  <c r="B62" i="4"/>
  <c r="C62" i="4"/>
  <c r="B61" i="4"/>
  <c r="C61" i="4"/>
  <c r="B60" i="4"/>
  <c r="C60" i="4"/>
  <c r="B59" i="4"/>
  <c r="C59" i="4"/>
  <c r="B58" i="4"/>
  <c r="C58" i="4"/>
  <c r="B57" i="4"/>
  <c r="C57" i="4"/>
  <c r="B56" i="4"/>
  <c r="C56" i="4"/>
  <c r="B20" i="4"/>
  <c r="B23" i="4"/>
  <c r="B19" i="4"/>
  <c r="C23" i="4"/>
  <c r="B24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C24" i="4"/>
  <c r="F23" i="4" a="1"/>
  <c r="F23" i="4"/>
  <c r="C19" i="4"/>
  <c r="B2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B27" i="4"/>
  <c r="B31" i="4"/>
  <c r="B32" i="4"/>
  <c r="F18" i="4"/>
  <c r="H18" i="4"/>
  <c r="G18" i="4"/>
  <c r="F17" i="4"/>
  <c r="H17" i="4"/>
  <c r="G17" i="4"/>
  <c r="F16" i="4"/>
  <c r="H16" i="4"/>
  <c r="G16" i="4"/>
  <c r="F15" i="4"/>
  <c r="H15" i="4"/>
  <c r="G15" i="4"/>
  <c r="F14" i="4"/>
  <c r="H14" i="4"/>
  <c r="G14" i="4"/>
  <c r="F13" i="4"/>
  <c r="H13" i="4"/>
  <c r="G13" i="4"/>
  <c r="F12" i="4"/>
  <c r="H12" i="4"/>
  <c r="G12" i="4"/>
  <c r="F11" i="4"/>
  <c r="H11" i="4"/>
  <c r="G11" i="4"/>
  <c r="F10" i="4"/>
  <c r="H10" i="4"/>
  <c r="G10" i="4"/>
  <c r="F9" i="4"/>
  <c r="H9" i="4"/>
  <c r="G9" i="4"/>
  <c r="F8" i="4"/>
  <c r="H8" i="4"/>
  <c r="G8" i="4"/>
  <c r="F7" i="4"/>
  <c r="H7" i="4"/>
  <c r="G7" i="4"/>
  <c r="B48" i="4"/>
  <c r="D48" i="4"/>
  <c r="B38" i="4" a="1"/>
  <c r="B38" i="4"/>
  <c r="B47" i="4"/>
  <c r="D47" i="4"/>
  <c r="B46" i="4"/>
  <c r="D46" i="4"/>
  <c r="B45" i="4"/>
  <c r="D45" i="4"/>
  <c r="D38" i="4"/>
  <c r="B34" i="4"/>
  <c r="D20" i="4"/>
  <c r="F17" i="3"/>
  <c r="H17" i="3"/>
  <c r="G17" i="3"/>
  <c r="F16" i="3"/>
  <c r="H16" i="3"/>
  <c r="G16" i="3"/>
  <c r="F15" i="3"/>
  <c r="H15" i="3"/>
  <c r="G15" i="3"/>
  <c r="F14" i="3"/>
  <c r="H14" i="3"/>
  <c r="G14" i="3"/>
  <c r="F13" i="3"/>
  <c r="H13" i="3"/>
  <c r="G13" i="3"/>
  <c r="F12" i="3"/>
  <c r="H12" i="3"/>
  <c r="G12" i="3"/>
  <c r="F11" i="3"/>
  <c r="H11" i="3"/>
  <c r="G11" i="3"/>
  <c r="F10" i="3"/>
  <c r="H10" i="3"/>
  <c r="G10" i="3"/>
  <c r="F9" i="3"/>
  <c r="H9" i="3"/>
  <c r="G9" i="3"/>
  <c r="F8" i="3"/>
  <c r="H8" i="3"/>
  <c r="G8" i="3"/>
  <c r="F7" i="3"/>
  <c r="H7" i="3"/>
  <c r="G7" i="3"/>
  <c r="H6" i="3"/>
  <c r="G6" i="3"/>
  <c r="F6" i="3"/>
  <c r="D47" i="3"/>
  <c r="B47" i="3"/>
  <c r="D46" i="3"/>
  <c r="B46" i="3"/>
  <c r="D45" i="3"/>
  <c r="B45" i="3"/>
  <c r="D44" i="3"/>
  <c r="B44" i="3"/>
  <c r="D37" i="3"/>
  <c r="B37" i="3" a="1"/>
  <c r="B37" i="3"/>
  <c r="B33" i="3"/>
  <c r="B31" i="3"/>
  <c r="B30" i="3"/>
  <c r="F22" i="3" a="1"/>
  <c r="F22" i="3"/>
  <c r="B26" i="3"/>
  <c r="B25" i="3"/>
  <c r="C23" i="3"/>
  <c r="B23" i="3"/>
  <c r="C22" i="3"/>
  <c r="B22" i="3"/>
  <c r="D19" i="3"/>
  <c r="B19" i="3"/>
  <c r="E18" i="3"/>
  <c r="D18" i="3"/>
  <c r="C18" i="3"/>
  <c r="B18" i="3"/>
  <c r="E17" i="3"/>
  <c r="D17" i="3"/>
  <c r="E16" i="3"/>
  <c r="D16" i="3"/>
  <c r="E15" i="3"/>
  <c r="D15" i="3"/>
  <c r="E14" i="3"/>
  <c r="D14" i="3"/>
  <c r="E13" i="3"/>
  <c r="D13" i="3"/>
  <c r="E12" i="3"/>
  <c r="D12" i="3"/>
  <c r="E11" i="3"/>
  <c r="D11" i="3"/>
  <c r="E10" i="3"/>
  <c r="D10" i="3"/>
  <c r="E9" i="3"/>
  <c r="D9" i="3"/>
  <c r="E8" i="3"/>
  <c r="D8" i="3"/>
  <c r="E7" i="3"/>
  <c r="D7" i="3"/>
  <c r="E6" i="3"/>
  <c r="D6" i="3"/>
  <c r="H27" i="1"/>
  <c r="G27" i="1"/>
  <c r="F27" i="1"/>
  <c r="H26" i="1"/>
  <c r="G26" i="1"/>
  <c r="F26" i="1"/>
  <c r="H25" i="1"/>
  <c r="G25" i="1"/>
  <c r="F25" i="1"/>
  <c r="H24" i="1"/>
  <c r="G24" i="1"/>
  <c r="F24" i="1"/>
  <c r="H23" i="1"/>
  <c r="G23" i="1"/>
  <c r="F23" i="1"/>
  <c r="D37" i="1"/>
  <c r="C37" i="1"/>
  <c r="D36" i="1"/>
  <c r="C36" i="1"/>
  <c r="D28" i="1"/>
  <c r="B28" i="1" a="1"/>
  <c r="B28" i="1"/>
  <c r="C24" i="1"/>
  <c r="E23" i="1"/>
  <c r="C23" i="1"/>
  <c r="F15" i="1" a="1"/>
  <c r="F15" i="1"/>
  <c r="B19" i="1"/>
  <c r="B18" i="1"/>
  <c r="C16" i="1"/>
  <c r="B16" i="1"/>
  <c r="C15" i="1"/>
  <c r="B15" i="1"/>
  <c r="D12" i="1"/>
  <c r="B12" i="1"/>
  <c r="E11" i="1"/>
  <c r="D11" i="1"/>
  <c r="C11" i="1"/>
  <c r="B11" i="1"/>
  <c r="E10" i="1"/>
  <c r="D10" i="1"/>
  <c r="E9" i="1"/>
  <c r="D9" i="1"/>
  <c r="E8" i="1"/>
  <c r="D8" i="1"/>
  <c r="E7" i="1"/>
  <c r="D7" i="1"/>
  <c r="E6" i="1"/>
  <c r="D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Steve Kromer</author>
  </authors>
  <commentList>
    <comment ref="H3" authorId="0" shapeId="0" xr:uid="{1864EB35-3865-400B-847E-0B881A646A93}">
      <text>
        <r>
          <rPr>
            <b/>
            <sz val="9"/>
            <color indexed="81"/>
            <rFont val="Tahoma"/>
            <family val="2"/>
          </rPr>
          <t>Steve Kromer:</t>
        </r>
        <r>
          <rPr>
            <sz val="9"/>
            <color indexed="81"/>
            <rFont val="Tahoma"/>
            <family val="2"/>
          </rPr>
          <t xml:space="preserve">
http://www.chem.mtu.edu/~fmorriso/cm3215/Lectures/CM3215_LectureStatistics_5_LINEST2014.pdf</t>
        </r>
      </text>
    </comment>
    <comment ref="C30" authorId="0" shapeId="0" xr:uid="{5C68FB76-C1CA-412C-88ED-3ECAF053604F}">
      <text>
        <r>
          <rPr>
            <b/>
            <sz val="9"/>
            <color indexed="81"/>
            <rFont val="Tahoma"/>
            <family val="2"/>
          </rPr>
          <t>Standard error of the estimate (S_yx)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Steve Kromer</author>
  </authors>
  <commentList>
    <comment ref="C39" authorId="0" shapeId="0" xr:uid="{A578640F-B918-4F23-A40B-741B23E425C7}">
      <text>
        <r>
          <rPr>
            <b/>
            <sz val="9"/>
            <color indexed="81"/>
            <rFont val="Tahoma"/>
            <family val="2"/>
          </rPr>
          <t>Steve Kromer:</t>
        </r>
        <r>
          <rPr>
            <sz val="9"/>
            <color indexed="81"/>
            <rFont val="Tahoma"/>
            <family val="2"/>
          </rPr>
          <t xml:space="preserve">
Standard error of estimate (S_yx)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Steve Kromer</author>
  </authors>
  <commentList>
    <comment ref="C40" authorId="0" shapeId="0" xr:uid="{11032F56-709C-4AF0-B428-FF158A3A6A89}">
      <text>
        <r>
          <rPr>
            <b/>
            <sz val="9"/>
            <color indexed="81"/>
            <rFont val="Tahoma"/>
            <family val="2"/>
          </rPr>
          <t>Steve Kromer:</t>
        </r>
        <r>
          <rPr>
            <sz val="9"/>
            <color indexed="81"/>
            <rFont val="Tahoma"/>
            <family val="2"/>
          </rPr>
          <t xml:space="preserve">
Standard error of estimate (S_yx)</t>
        </r>
      </text>
    </comment>
    <comment ref="B53" authorId="0" shapeId="0" xr:uid="{9AFD578B-C371-47F2-84EA-BF79096B5646}">
      <text>
        <r>
          <rPr>
            <b/>
            <sz val="9"/>
            <color indexed="81"/>
            <rFont val="Tahoma"/>
            <family val="2"/>
          </rPr>
          <t>Steve Kromer:</t>
        </r>
        <r>
          <rPr>
            <sz val="9"/>
            <color indexed="81"/>
            <rFont val="Tahoma"/>
            <family val="2"/>
          </rPr>
          <t xml:space="preserve">
Baseload kWh/month (non-cooling electric load)</t>
        </r>
      </text>
    </comment>
    <comment ref="C53" authorId="0" shapeId="0" xr:uid="{683E9209-B231-49A1-A44E-25464F163690}">
      <text>
        <r>
          <rPr>
            <b/>
            <sz val="9"/>
            <color indexed="81"/>
            <rFont val="Tahoma"/>
            <family val="2"/>
          </rPr>
          <t>Steve Kromer:</t>
        </r>
        <r>
          <rPr>
            <sz val="9"/>
            <color indexed="81"/>
            <rFont val="Tahoma"/>
            <family val="2"/>
          </rPr>
          <t xml:space="preserve">
kWh per CDD</t>
        </r>
      </text>
    </comment>
    <comment ref="D53" authorId="0" shapeId="0" xr:uid="{16708BD5-F930-4176-BCA4-D0D46BD4D8DD}">
      <text>
        <r>
          <rPr>
            <b/>
            <sz val="9"/>
            <color indexed="81"/>
            <rFont val="Tahoma"/>
            <family val="2"/>
          </rPr>
          <t>Steve Kromer:</t>
        </r>
        <r>
          <rPr>
            <sz val="9"/>
            <color indexed="81"/>
            <rFont val="Tahoma"/>
            <family val="2"/>
          </rPr>
          <t xml:space="preserve">
Random noise ±% (higher = lower R²)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<sst xmlns="http://schemas.openxmlformats.org/spreadsheetml/2006/main" count="291" uniqueCount="189">
  <si>
    <t>x</t>
  </si>
  <si>
    <t>y</t>
  </si>
  <si>
    <t>Slope</t>
  </si>
  <si>
    <t>Avg x</t>
  </si>
  <si>
    <t>Least Squares Regression — Matrix Formula Method</t>
  </si>
  <si>
    <t>Demonstrates how Excel fits a linear model y = β₀ + β₁x using the normal equations: β = (X'X)⁻¹ · X'Y</t>
  </si>
  <si>
    <t>Reference</t>
  </si>
  <si>
    <t>MTU Lecture Notes (PDF)</t>
  </si>
  <si>
    <t>SECTION 1: INPUT DATA</t>
  </si>
  <si>
    <t>Obs</t>
  </si>
  <si>
    <t>x · y</t>
  </si>
  <si>
    <t>x²</t>
  </si>
  <si>
    <t>Sum</t>
  </si>
  <si>
    <t>n (count)</t>
  </si>
  <si>
    <t>SECTION 2: MATRIX SETUP</t>
  </si>
  <si>
    <t>X'X  =</t>
  </si>
  <si>
    <t>(X'X)⁻¹  =</t>
  </si>
  <si>
    <t>X'Y  =</t>
  </si>
  <si>
    <t>← Σy</t>
  </si>
  <si>
    <t>[ n      Σx  ]</t>
  </si>
  <si>
    <t>← Σxy</t>
  </si>
  <si>
    <t>[ Σx    Σx² ]</t>
  </si>
  <si>
    <t>SECTION 3: SOLUTION  —  β = (X'X)⁻¹ · X'Y</t>
  </si>
  <si>
    <t>Formula</t>
  </si>
  <si>
    <t>Result</t>
  </si>
  <si>
    <t>Equation of fitted line:</t>
  </si>
  <si>
    <t>β₀ (Intercept)</t>
  </si>
  <si>
    <t>(X'X)⁻¹₁₁·Σy + (X'X)⁻¹₁₂·Σxy</t>
  </si>
  <si>
    <t>β₁ (Slope)</t>
  </si>
  <si>
    <t>(X'X)⁻¹₂₁·Σy + (X'X)⁻¹₂₂·Σxy</t>
  </si>
  <si>
    <t>SECTION 4: VALIDATION VIA LINEST</t>
  </si>
  <si>
    <t>LINEST Output</t>
  </si>
  <si>
    <t>Slope (β₁)</t>
  </si>
  <si>
    <t>Intercept (β₀)</t>
  </si>
  <si>
    <t>Match?</t>
  </si>
  <si>
    <t>Coefficients</t>
  </si>
  <si>
    <t>Std Error</t>
  </si>
  <si>
    <t>R²</t>
  </si>
  <si>
    <t>F-statistic</t>
  </si>
  <si>
    <t>df (degrees of freedom)</t>
  </si>
  <si>
    <t>SS Regression</t>
  </si>
  <si>
    <t>SS Residual</t>
  </si>
  <si>
    <t>Manual Std Error Check</t>
  </si>
  <si>
    <t>SE(β₀) Intercept</t>
  </si>
  <si>
    <t>√[S²yx · (1/n + x̄²/Σ(x−x̄)²)]</t>
  </si>
  <si>
    <t>SE(β₁) Slope</t>
  </si>
  <si>
    <t>√[S²yx / Σ(x−x̄)²]</t>
  </si>
  <si>
    <t>Actual y</t>
  </si>
  <si>
    <t>Fitted y</t>
  </si>
  <si>
    <t>Chart Data</t>
  </si>
  <si>
    <t>How Excel Fits a Straight Line to Data</t>
  </si>
  <si>
    <t>A plain-language guide to Ordinary Least Squares (OLS) regression for M&amp;V analysts</t>
  </si>
  <si>
    <t>① THE GOAL: What Does "Fitting a Line" Mean?</t>
  </si>
  <si>
    <t>In M&amp;V, we often have paired observations — like outdoor temperature (x) and building energy use (y).</t>
  </si>
  <si>
    <t>We want to find the straight line that best describes the relationship:</t>
  </si>
  <si>
    <t>y  =  β₀  +  β₁ · x</t>
  </si>
  <si>
    <t>β₀ (intercept)  =  the predicted y when x = 0  (the line's starting point)</t>
  </si>
  <si>
    <t>β₁ (slope)         =  how much y changes for each 1-unit increase in x</t>
  </si>
  <si>
    <t>M&amp;V Example:</t>
  </si>
  <si>
    <t>x = Outdoor temperature (°F)</t>
  </si>
  <si>
    <t>y = Daily energy use (kWh)</t>
  </si>
  <si>
    <t>β₀ = Baseload energy (kWh at 0°F)</t>
  </si>
  <si>
    <t>β₁ = kWh per degree of temperature</t>
  </si>
  <si>
    <t>② THE INTUITION: Why "Least Squares"?</t>
  </si>
  <si>
    <t>No straight line passes through every data point. Each point has a residual — the vertical</t>
  </si>
  <si>
    <t>distance between the actual y and the line's prediction:</t>
  </si>
  <si>
    <t>residualᵢ  =  yᵢ  −  (β₀ + β₁ · xᵢ)</t>
  </si>
  <si>
    <t>"Least Squares" means: find the β₀ and β₁ that minimize the sum of all squared residuals:</t>
  </si>
  <si>
    <t>Minimize:  Σ(yᵢ − ŷᵢ)²</t>
  </si>
  <si>
    <t>Why squared?  So positive and negative errors don't cancel out, and large errors are penalized more.</t>
  </si>
  <si>
    <t>Visual Intuition:</t>
  </si>
  <si>
    <t xml:space="preserve">    •          ← residual (error)</t>
  </si>
  <si>
    <t xml:space="preserve">  ───•──────── fitted line</t>
  </si>
  <si>
    <t xml:space="preserve">         •     ← residual (error)</t>
  </si>
  <si>
    <t>The line adjusts until the total area of all</t>
  </si>
  <si>
    <t>those squared residual "boxes" is as small as possible.</t>
  </si>
  <si>
    <t>③ THE STEPS: How Excel Finds the Best Line (5 Steps)</t>
  </si>
  <si>
    <t>Step 1 — Gather the building blocks</t>
  </si>
  <si>
    <t>What Excel computes internally:</t>
  </si>
  <si>
    <t>From your n data points, compute these sums: Σx, Σy, Σxy, Σx²</t>
  </si>
  <si>
    <t>See Section 1 on the 'Least Squares Formula' tab</t>
  </si>
  <si>
    <t>Step 2 — Build the X'X matrix</t>
  </si>
  <si>
    <t>X'X = [ n    Σx  ]</t>
  </si>
  <si>
    <t>Arrange the sums into a 2×2 matrix. This captures how spread out your x values are.</t>
  </si>
  <si>
    <t xml:space="preserve">         [ Σx  Σx² ]</t>
  </si>
  <si>
    <t>Step 3 — Build the X'Y vector</t>
  </si>
  <si>
    <t>X'Y = [ Σy  ]</t>
  </si>
  <si>
    <t>Stack Σy and Σxy into a column vector. This captures how x and y move together.</t>
  </si>
  <si>
    <t xml:space="preserve">         [ Σxy ]</t>
  </si>
  <si>
    <t>Step 4 — Invert X'X</t>
  </si>
  <si>
    <t>Excel function: =MINVERSE(range)</t>
  </si>
  <si>
    <t>"Inverting" the matrix is like dividing — it undoes the X'X multiplication so we can</t>
  </si>
  <si>
    <t>Think of it like: to solve 5x = 20,</t>
  </si>
  <si>
    <t>isolate the coefficients β₀ and β₁.</t>
  </si>
  <si>
    <t>you multiply by 1/5. The inverse is the matrix version of "/5".</t>
  </si>
  <si>
    <t>Step 5 — Multiply to get the answer</t>
  </si>
  <si>
    <t>β = (X'X)⁻¹  ·  X'Y</t>
  </si>
  <si>
    <t>Multiply the inverted matrix by the X'Y vector. The result is a 2×1 vector:</t>
  </si>
  <si>
    <t>[ β₀ ]  =  intercept        [ β₁ ]  =  slope</t>
  </si>
  <si>
    <t>This is exactly what Excel's LINEST function does internally!</t>
  </si>
  <si>
    <t>That's it!  The 'Least Squares Formula' tab shows every one of these steps with live formulas.</t>
  </si>
  <si>
    <t>←  Go explore it — change the input data and watch everything update.</t>
  </si>
  <si>
    <t>④ KEY OUTPUTS: What the Numbers Tell You</t>
  </si>
  <si>
    <t>Output</t>
  </si>
  <si>
    <t>What It Tells You (in M&amp;V terms)</t>
  </si>
  <si>
    <t>Baseload — predicted energy use when x = 0. E.g., lights &amp; plug loads independent of weather.</t>
  </si>
  <si>
    <t>Sensitivity — how much energy changes per degree. Positive = heating-dominated; negative = cooling.</t>
  </si>
  <si>
    <t>Goodness of fit — fraction of variance in y explained by x. Closer to 1 = better model. IPMVP typically wants R² ≥ 0.75.</t>
  </si>
  <si>
    <t>Std Error of Estimate (Sʸˣ)</t>
  </si>
  <si>
    <t>Typical size of a residual — how far off the line's predictions tend to be, in the same units as y.</t>
  </si>
  <si>
    <t>SE(β₀), SE(β₁)</t>
  </si>
  <si>
    <t>Uncertainty in the coefficients — smaller = more precise. Use for confidence intervals: β ± t · SE.</t>
  </si>
  <si>
    <t>Overall significance — is the model better than just using the average? Higher F = stronger evidence.</t>
  </si>
  <si>
    <t>CV(RMSE)</t>
  </si>
  <si>
    <t>Sʸˣ / ȳ  expressed as %. IPMVP guideline: CV(RMSE) ≤ 20% for monthly, ≤ 25% for daily models.</t>
  </si>
  <si>
    <t>⑤ EXCEL FUNCTION GLOSSARY</t>
  </si>
  <si>
    <t>Excel Function</t>
  </si>
  <si>
    <t>What It Does</t>
  </si>
  <si>
    <t>LINEST(y, x, 1, 1)</t>
  </si>
  <si>
    <t>Returns a 5×2 array: [slope, intercept; SE_slope, SE_int; R², Sʸˣ; F, df; SS_reg, SS_resid]. The all-in-one regression tool.</t>
  </si>
  <si>
    <t>MINVERSE(range)</t>
  </si>
  <si>
    <t>Returns the matrix inverse of a square range. Used in step 4 to "undo" the X'X matrix.</t>
  </si>
  <si>
    <t>DEVSQ(range)</t>
  </si>
  <si>
    <t>Sum of squared deviations from the mean: Σ(xᵢ − x̄)². Appears in standard error formulas.</t>
  </si>
  <si>
    <t>SLOPE(y, x)</t>
  </si>
  <si>
    <t>Returns just the slope β₁. Quick single-value alternative to LINEST.</t>
  </si>
  <si>
    <t>INTERCEPT(y, x)</t>
  </si>
  <si>
    <t>Returns just the intercept β₀. Pair with SLOPE for the quick approach.</t>
  </si>
  <si>
    <t>RSQ(y, x)</t>
  </si>
  <si>
    <t>Returns R² directly. Equivalent to the R² value in LINEST row 3.</t>
  </si>
  <si>
    <t>STEYX(y, x)</t>
  </si>
  <si>
    <t>Returns the standard error of the estimate (Sʸˣ). Same as LINEST row 3, column 2.</t>
  </si>
  <si>
    <t>Worked Example — Energy Use vs. Outdoor Temperature</t>
  </si>
  <si>
    <t>Monthly gas consumption (therms) regressed against heating degree days (HDD). Follows the same 5 steps as the formula sheet.</t>
  </si>
  <si>
    <t>STEP 1: INPUT DATA</t>
  </si>
  <si>
    <t>Month</t>
  </si>
  <si>
    <t>x (HDD)</t>
  </si>
  <si>
    <t>y (therms)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</si>
  <si>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</si>
  <si>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</si>
  <si>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</si>
  <si>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</si>
  <si>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</si>
  <si>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</si>
  <si>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</si>
  <si>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</si>
  <si>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</si>
  <si>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</si>
  <si>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</si>
  <si>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</si>
  <si>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STEPS 2–4: MATRIX SETUP</t>
  </si>
  <si>
    <t>STEP 5: SOLUTION  —  β = (X'X)⁻¹ · X'Y</t>
  </si>
  <si>
    <t>Interpretation</t>
  </si>
  <si>
    <t>Baseload: ~37 therms/month even at 0 HDD (hot water, cooking, etc.)</t>
  </si>
  <si>
    <t>Each additional HDD adds ~0.24 therms of gas consumption</t>
  </si>
  <si>
    <t>Fitted line:</t>
  </si>
  <si>
    <t>VALIDATION VIA LINEST &amp; MODEL QUALITY</t>
  </si>
  <si>
    <t>M&amp;V Model Quality</t>
  </si>
  <si>
    <t>Value</t>
  </si>
  <si>
    <t>Threshold</t>
  </si>
  <si>
    <t>Pass?</t>
  </si>
  <si>
    <t>≥ 0.75</t>
  </si>
  <si>
    <t>≤ 20% (monthly)</t>
  </si>
  <si>
    <t>t-statistic (slope)</t>
  </si>
  <si>
    <t>&gt; 2.0</t>
  </si>
  <si>
    <t>n (observations)</t>
  </si>
  <si>
    <t>≥ 12 (monthly)</t>
  </si>
  <si>
    <t>HDD</t>
  </si>
  <si>
    <t>Actual</t>
  </si>
  <si>
    <t>Fitted</t>
  </si>
  <si>
    <t>Exercise — Electricity Use vs. Cooling Degree Days</t>
  </si>
  <si>
    <t>Enter 12 months of CDD (x) and kWh (y) data in the blue cells below. All calculations, statistics, and the chart update automatically.</t>
  </si>
  <si>
    <t>▶ To generate random sample data, copy the values from the generator at the bottom of this sheet and Paste Special → Values into columns B &amp; C.</t>
  </si>
  <si>
    <t>STEP 1: YOUR DATA  —  Enter values in the blue cells</t>
  </si>
  <si>
    <t>x (CDD)</t>
  </si>
  <si>
    <t>y (kWh)</t>
  </si>
  <si>
    <t>STEPS 2–4: MATRIX SETUP  (auto-populated when data is entered)</t>
  </si>
  <si>
    <t>Baseload kWh (lighting, plugs, etc. independent of cooling)</t>
  </si>
  <si>
    <t>Additional kWh per cooling degree day</t>
  </si>
  <si>
    <t>VALIDATION &amp; MODEL QUALITY</t>
  </si>
  <si>
    <t>df</t>
  </si>
  <si>
    <t>CDD</t>
  </si>
  <si>
    <t>🎲 SAMPLE DATA GENERATOR  —  Press F9 (or Ctrl+Shift+F9) to generate new random data</t>
  </si>
  <si>
    <t>Assumptions (tweak these!):</t>
  </si>
  <si>
    <t>Baseload</t>
  </si>
  <si>
    <t>Noise %</t>
  </si>
  <si>
    <t>CDD (copy → B)</t>
  </si>
  <si>
    <t>kWh (copy → C)</t>
  </si>
  <si>
    <t>↑ Select B56:C67 → Copy → Click B7 → Paste Special →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</si>
</sst>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000"/>
    <numFmt numFmtId="166" formatCode="0.0%"/>
    <numFmt numFmtId="167" formatCode="0.0"/>
  </numFmts>
  <fonts count="3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595959"/>
      <name val="Calibri"/>
      <family val="2"/>
      <scheme val="minor"/>
    </font>
    <font>
      <i/>
      <sz val="11"/>
      <color rgb="FF595959"/>
      <name val="Calibri"/>
      <family val="2"/>
      <scheme val="minor"/>
    </font>
    <font>
      <sz val="10"/>
      <color rgb="FF595959"/>
      <name val="Calibri"/>
      <family val="2"/>
      <scheme val="minor"/>
    </font>
    <font>
      <u/>
      <sz val="10"/>
      <color rgb="FF0563C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0"/>
      <color rgb="FF595959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b/>
      <i/>
      <sz val="10"/>
      <color rgb="FF595959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3"/>
      <color rgb="FF000000"/>
      <name val="Calibri"/>
      <family val="2"/>
      <scheme val="minor"/>
    </font>
    <font>
      <b/>
      <sz val="12"/>
      <color rgb="FF4472C4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rgb="FF000000"/>
      <name val="Consolas"/>
      <family val="3"/>
    </font>
    <font>
      <b/>
      <sz val="10"/>
      <color rgb="FF000000"/>
      <name val="Calibri"/>
      <family val="2"/>
      <scheme val="minor"/>
    </font>
    <font>
      <b/>
      <sz val="11"/>
      <color rgb="FF4472C4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6E4F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404040"/>
      </bottom>
      <diagonal/>
    </border>
    <border>
      <left/>
      <right/>
      <top style="medium">
        <color rgb="FF404040"/>
      </top>
      <bottom/>
      <diagonal/>
    </border>
    <border>
      <left style="thin">
        <color rgb="FF404040"/>
      </left>
      <right/>
      <top style="thin">
        <color rgb="FF404040"/>
      </top>
      <bottom/>
      <diagonal/>
    </border>
    <border>
      <left/>
      <right style="thin">
        <color rgb="FF404040"/>
      </right>
      <top style="thin">
        <color rgb="FF404040"/>
      </top>
      <bottom/>
      <diagonal/>
    </border>
    <border>
      <left style="thin">
        <color rgb="FF404040"/>
      </left>
      <right/>
      <top/>
      <bottom style="thin">
        <color rgb="FF404040"/>
      </bottom>
      <diagonal/>
    </border>
    <border>
      <left/>
      <right style="thin">
        <color rgb="FF404040"/>
      </right>
      <top/>
      <bottom style="thin">
        <color rgb="FF404040"/>
      </bottom>
      <diagonal/>
    </border>
    <border>
      <left style="thin">
        <color rgb="FF404040"/>
      </left>
      <right style="thin">
        <color rgb="FF404040"/>
      </right>
      <top style="thin">
        <color rgb="FF404040"/>
      </top>
      <bottom style="thin">
        <color rgb="FF404040"/>
      </bottom>
      <diagonal/>
    </border>
    <border>
      <left style="thin">
        <color rgb="FF404040"/>
      </left>
      <right style="thin">
        <color rgb="FF404040"/>
      </right>
      <top style="thin">
        <color rgb="FF404040"/>
      </top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8" fillId="2" borderId="0" xfId="0" applyFont="1" applyFill="1"/>
    <xf numFmtId="0" fontId="9" fillId="2" borderId="0" xfId="0" applyFont="1" applyFill="1" applyAlignment="1">
      <alignment horizontal="right"/>
    </xf>
    <xf numFmtId="0" fontId="6" fillId="2" borderId="0" xfId="0" applyFont="1" applyFill="1"/>
    <xf numFmtId="0" fontId="8" fillId="2" borderId="0" xfId="0" applyFont="1" applyFill="1"/>
    <xf numFmtId="0" fontId="10" fillId="2" borderId="0" xfId="0" applyFont="1" applyFill="1" applyAlignment="1">
      <alignment horizontal="right"/>
    </xf>
    <xf numFmtId="0" fontId="13" fillId="3" borderId="0" xfId="0" applyFont="1" applyFill="1"/>
    <xf numFmtId="0" fontId="0" fillId="3" borderId="0" xfId="0" applyFill="1"/>
    <xf numFmtId="0" fontId="14" fillId="4" borderId="0" xfId="0" applyFont="1" applyFill="1"/>
    <xf numFmtId="0" fontId="14" fillId="4" borderId="1" xfId="0" applyFont="1" applyFill="1" applyBorder="1" applyAlignment="1">
      <alignment horizontal="center"/>
    </xf>
    <xf numFmtId="0" fontId="5" fillId="2" borderId="0" xfId="0" applyFont="1" applyFill="1"/>
    <xf numFmtId="0" fontId="5" fillId="2" borderId="0" xfId="0" applyFont="1" applyFill="1" applyAlignment="1">
      <alignment horizontal="center"/>
    </xf>
    <xf numFmtId="1" fontId="5" fillId="2" borderId="0" xfId="0" applyNumberFormat="1" applyFont="1" applyFill="1" applyAlignment="1">
      <alignment horizontal="center"/>
    </xf>
    <xf numFmtId="164" fontId="15" fillId="2" borderId="0" xfId="0" applyNumberFormat="1" applyFont="1" applyFill="1"/>
    <xf numFmtId="164" fontId="5" fillId="2" borderId="0" xfId="0" applyNumberFormat="1" applyFont="1" applyFill="1"/>
    <xf numFmtId="0" fontId="14" fillId="5" borderId="0" xfId="0" applyFont="1" applyFill="1"/>
    <xf numFmtId="0" fontId="14" fillId="5" borderId="2" xfId="0" applyFont="1" applyFill="1" applyBorder="1"/>
    <xf numFmtId="164" fontId="14" fillId="5" borderId="0" xfId="0" applyNumberFormat="1" applyFont="1" applyFill="1"/>
    <xf numFmtId="164" fontId="14" fillId="5" borderId="2" xfId="0" applyNumberFormat="1" applyFont="1" applyFill="1" applyBorder="1"/>
    <xf numFmtId="1" fontId="14" fillId="5" borderId="0" xfId="0" applyNumberFormat="1" applyFont="1" applyFill="1"/>
    <xf numFmtId="0" fontId="14" fillId="5" borderId="0" xfId="0" applyFont="1" applyFill="1" applyAlignment="1">
      <alignment horizontal="right"/>
    </xf>
    <xf numFmtId="0" fontId="0" fillId="5" borderId="0" xfId="0" applyFill="1"/>
    <xf numFmtId="0" fontId="14" fillId="2" borderId="0" xfId="0" applyFont="1" applyFill="1"/>
    <xf numFmtId="0" fontId="14" fillId="2" borderId="0" xfId="0" applyFont="1" applyFill="1" applyAlignment="1">
      <alignment horizontal="right"/>
    </xf>
    <xf numFmtId="0" fontId="5" fillId="6" borderId="0" xfId="0" applyFont="1" applyFill="1"/>
    <xf numFmtId="164" fontId="5" fillId="6" borderId="3" xfId="0" applyNumberFormat="1" applyFont="1" applyFill="1" applyBorder="1"/>
    <xf numFmtId="164" fontId="5" fillId="6" borderId="4" xfId="0" applyNumberFormat="1" applyFont="1" applyFill="1" applyBorder="1"/>
    <xf numFmtId="164" fontId="5" fillId="7" borderId="3" xfId="0" applyNumberFormat="1" applyFont="1" applyFill="1" applyBorder="1"/>
    <xf numFmtId="164" fontId="5" fillId="7" borderId="4" xfId="0" applyNumberFormat="1" applyFont="1" applyFill="1" applyBorder="1"/>
    <xf numFmtId="0" fontId="0" fillId="2" borderId="0" xfId="0" applyFill="1"/>
    <xf numFmtId="164" fontId="5" fillId="6" borderId="5" xfId="0" applyNumberFormat="1" applyFont="1" applyFill="1" applyBorder="1"/>
    <xf numFmtId="164" fontId="5" fillId="6" borderId="6" xfId="0" applyNumberFormat="1" applyFont="1" applyFill="1" applyBorder="1"/>
    <xf numFmtId="164" fontId="5" fillId="7" borderId="5" xfId="0" applyNumberFormat="1" applyFont="1" applyFill="1" applyBorder="1"/>
    <xf numFmtId="164" fontId="5" fillId="7" borderId="6" xfId="0" applyNumberFormat="1" applyFont="1" applyFill="1" applyBorder="1"/>
    <xf numFmtId="164" fontId="5" fillId="8" borderId="7" xfId="0" applyNumberFormat="1" applyFont="1" applyFill="1" applyBorder="1"/>
    <xf numFmtId="0" fontId="16" fillId="2" borderId="0" xfId="0" applyFont="1" applyFill="1"/>
    <xf numFmtId="164" fontId="5" fillId="8" borderId="8" xfId="0" applyNumberFormat="1" applyFont="1" applyFill="1" applyBorder="1"/>
    <xf numFmtId="0" fontId="17" fillId="2" borderId="0" xfId="0" applyFont="1" applyFill="1"/>
    <xf numFmtId="0" fontId="9" fillId="2" borderId="0" xfId="0" applyFont="1" applyFill="1" applyAlignment="1">
      <alignment horizontal="center"/>
    </xf>
    <xf numFmtId="164" fontId="18" fillId="2" borderId="0" xfId="0" applyNumberFormat="1" applyFont="1" applyFill="1"/>
    <xf numFmtId="0" fontId="19" fillId="7" borderId="0" xfId="0" applyFont="1" applyFill="1"/>
    <xf numFmtId="164" fontId="20" fillId="2" borderId="0" xfId="0" applyNumberFormat="1" applyFont="1" applyFill="1"/>
    <xf numFmtId="0" fontId="4" fillId="2" borderId="0" xfId="0" applyFont="1" applyFill="1"/>
    <xf numFmtId="164" fontId="4" fillId="2" borderId="0" xfId="0" applyNumberFormat="1" applyFont="1" applyFill="1"/>
    <xf numFmtId="0" fontId="1" fillId="2" borderId="0" xfId="0" applyFont="1" applyFill="1"/>
    <xf numFmtId="164" fontId="1" fillId="2" borderId="0" xfId="0" applyNumberFormat="1" applyFont="1" applyFill="1"/>
    <xf numFmtId="164" fontId="3" fillId="2" borderId="0" xfId="0" applyNumberFormat="1" applyFont="1" applyFill="1"/>
    <xf numFmtId="164" fontId="2" fillId="2" borderId="0" xfId="0" applyNumberFormat="1" applyFont="1" applyFill="1"/>
    <xf numFmtId="1" fontId="5" fillId="2" borderId="0" xfId="0" applyNumberFormat="1" applyFont="1" applyFill="1"/>
    <xf numFmtId="0" fontId="14" fillId="4" borderId="1" xfId="0" applyFont="1" applyFill="1" applyBorder="1"/>
    <xf numFmtId="2" fontId="5" fillId="2" borderId="0" xfId="0" applyNumberFormat="1" applyFont="1" applyFill="1"/>
    <xf numFmtId="0" fontId="21" fillId="2" borderId="0" xfId="0" applyFont="1" applyFill="1"/>
    <xf numFmtId="0" fontId="22" fillId="2" borderId="0" xfId="0" applyFont="1" applyFill="1"/>
    <xf numFmtId="0" fontId="23" fillId="3" borderId="0" xfId="0" applyFont="1" applyFill="1"/>
    <xf numFmtId="0" fontId="6" fillId="5" borderId="0" xfId="0" applyFont="1" applyFill="1" applyAlignment="1">
      <alignment horizontal="center"/>
    </xf>
    <xf numFmtId="0" fontId="14" fillId="6" borderId="0" xfId="0" applyFont="1" applyFill="1"/>
    <xf numFmtId="0" fontId="1" fillId="6" borderId="0" xfId="0" applyFont="1" applyFill="1"/>
    <xf numFmtId="0" fontId="4" fillId="6" borderId="0" xfId="0" applyFont="1" applyFill="1"/>
    <xf numFmtId="0" fontId="19" fillId="5" borderId="0" xfId="0" applyFont="1" applyFill="1" applyAlignment="1">
      <alignment horizontal="center"/>
    </xf>
    <xf numFmtId="0" fontId="24" fillId="7" borderId="0" xfId="0" applyFont="1" applyFill="1" applyAlignment="1">
      <alignment horizontal="center"/>
    </xf>
    <xf numFmtId="0" fontId="25" fillId="2" borderId="0" xfId="0" applyFont="1" applyFill="1"/>
    <xf numFmtId="0" fontId="8" fillId="4" borderId="0" xfId="0" applyFont="1" applyFill="1"/>
    <xf numFmtId="0" fontId="5" fillId="4" borderId="0" xfId="0" applyFont="1" applyFill="1"/>
    <xf numFmtId="0" fontId="19" fillId="7" borderId="0" xfId="0" applyFont="1" applyFill="1" applyAlignment="1">
      <alignment horizontal="center"/>
    </xf>
    <xf numFmtId="0" fontId="8" fillId="7" borderId="0" xfId="0" applyFont="1" applyFill="1"/>
    <xf numFmtId="0" fontId="8" fillId="5" borderId="0" xfId="0" applyFont="1" applyFill="1"/>
    <xf numFmtId="0" fontId="26" fillId="2" borderId="0" xfId="0" applyFont="1" applyFill="1"/>
    <xf numFmtId="0" fontId="27" fillId="2" borderId="0" xfId="0" applyFont="1" applyFill="1"/>
    <xf numFmtId="0" fontId="28" fillId="2" borderId="0" xfId="0" applyFont="1" applyFill="1"/>
    <xf numFmtId="3" fontId="15" fillId="2" borderId="0" xfId="0" applyNumberFormat="1" applyFont="1" applyFill="1"/>
    <xf numFmtId="3" fontId="5" fillId="2" borderId="0" xfId="0" applyNumberFormat="1" applyFont="1" applyFill="1"/>
    <xf numFmtId="0" fontId="14" fillId="5" borderId="0" xfId="0" applyFont="1" applyFill="1" applyAlignment="1">
      <alignment horizontal="center"/>
    </xf>
    <xf numFmtId="0" fontId="14" fillId="5" borderId="2" xfId="0" applyFont="1" applyFill="1" applyBorder="1" applyAlignment="1">
      <alignment horizontal="center"/>
    </xf>
    <xf numFmtId="3" fontId="14" fillId="5" borderId="2" xfId="0" applyNumberFormat="1" applyFont="1" applyFill="1" applyBorder="1"/>
    <xf numFmtId="2" fontId="14" fillId="5" borderId="0" xfId="0" applyNumberFormat="1" applyFont="1" applyFill="1"/>
    <xf numFmtId="3" fontId="5" fillId="6" borderId="3" xfId="0" applyNumberFormat="1" applyFont="1" applyFill="1" applyBorder="1"/>
    <xf numFmtId="3" fontId="5" fillId="6" borderId="4" xfId="0" applyNumberFormat="1" applyFont="1" applyFill="1" applyBorder="1"/>
    <xf numFmtId="165" fontId="5" fillId="7" borderId="3" xfId="0" applyNumberFormat="1" applyFont="1" applyFill="1" applyBorder="1"/>
    <xf numFmtId="165" fontId="5" fillId="7" borderId="4" xfId="0" applyNumberFormat="1" applyFont="1" applyFill="1" applyBorder="1"/>
    <xf numFmtId="3" fontId="5" fillId="6" borderId="5" xfId="0" applyNumberFormat="1" applyFont="1" applyFill="1" applyBorder="1"/>
    <xf numFmtId="3" fontId="5" fillId="6" borderId="6" xfId="0" applyNumberFormat="1" applyFont="1" applyFill="1" applyBorder="1"/>
    <xf numFmtId="165" fontId="5" fillId="7" borderId="5" xfId="0" applyNumberFormat="1" applyFont="1" applyFill="1" applyBorder="1"/>
    <xf numFmtId="165" fontId="5" fillId="7" borderId="6" xfId="0" applyNumberFormat="1" applyFont="1" applyFill="1" applyBorder="1"/>
    <xf numFmtId="3" fontId="5" fillId="8" borderId="7" xfId="0" applyNumberFormat="1" applyFont="1" applyFill="1" applyBorder="1"/>
    <xf numFmtId="3" fontId="5" fillId="8" borderId="8" xfId="0" applyNumberFormat="1" applyFont="1" applyFill="1" applyBorder="1"/>
    <xf numFmtId="2" fontId="18" fillId="2" borderId="0" xfId="0" applyNumberFormat="1" applyFont="1" applyFill="1"/>
    <xf numFmtId="2" fontId="1" fillId="2" borderId="0" xfId="0" applyNumberFormat="1" applyFont="1" applyFill="1"/>
    <xf numFmtId="2" fontId="2" fillId="2" borderId="0" xfId="0" applyNumberFormat="1" applyFont="1" applyFill="1"/>
    <xf numFmtId="4" fontId="5" fillId="2" borderId="0" xfId="0" applyNumberFormat="1" applyFont="1" applyFill="1"/>
    <xf numFmtId="0" fontId="7" fillId="2" borderId="0" xfId="0" applyFont="1" applyFill="1" applyAlignment="1">
      <alignment horizontal="center"/>
    </xf>
    <xf numFmtId="166" fontId="5" fillId="2" borderId="0" xfId="0" applyNumberFormat="1" applyFont="1" applyFill="1"/>
    <xf numFmtId="0" fontId="13" fillId="9" borderId="0" xfId="0" applyFont="1" applyFill="1"/>
    <xf numFmtId="0" fontId="13" fillId="9" borderId="0" xfId="0" applyFont="1" applyFill="1"/>
    <xf numFmtId="3" fontId="15" fillId="10" borderId="0" xfId="0" applyNumberFormat="1" applyFont="1" applyFill="1"/>
    <xf numFmtId="0" fontId="0" fillId="9" borderId="0" xfId="0" applyFill="1"/>
    <xf numFmtId="0" fontId="29" fillId="4" borderId="0" xfId="0" applyFont="1" applyFill="1" applyAlignment="1">
      <alignment horizontal="center"/>
    </xf>
    <xf numFmtId="167" fontId="15" fillId="10" borderId="0" xfId="0" applyNumberFormat="1" applyFont="1" applyFill="1"/>
    <xf numFmtId="9" fontId="15" fillId="10" borderId="0" xfId="0" applyNumberFormat="1" applyFont="1" applyFill="1"/>
    <xf numFmtId="3" fontId="5" fillId="5" borderId="0" xfId="0" applyNumberFormat="1" applyFont="1" applyFill="1"/>
    <xf numFmtId="0" fontId="30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Actual vs Fitted Values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'Least Squares Formula'!$G$22</c:f>
              <c:strCache>
                <c:ptCount val="1"/>
                <c:pt idx="0">
                  <c:v>Actual 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'Least Squares Formula'!$F$23:$F$27</c:f>
              <c:numCache>
                <c:formatCode>0.00</c:formatCode>
                <c:ptCount val="5"/>
                <c:pt idx="0">
                  <c:v>0.5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'Least Squares Formula'!$G$23:$G$27</c:f>
              <c:numCache>
                <c:formatCode>0.00</c:formatCode>
                <c:ptCount val="5"/>
                <c:pt idx="0">
                  <c:v>6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48-4B82-AFF2-CCF43BE7D66C}"/>
            </c:ext>
          </c:extLst>
        </c:ser>
        <c:ser>
          <c:idx val="1"/>
          <c:order val="1"/>
          <c:tx>
            <c:strRef>
              <c:f>'Least Squares Formula'!$H$22</c:f>
              <c:strCache>
                <c:ptCount val="1"/>
                <c:pt idx="0">
                  <c:v>Fitted 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'Least Squares Formula'!$F$23:$F$27</c:f>
              <c:numCache>
                <c:formatCode>0.00</c:formatCode>
                <c:ptCount val="5"/>
                <c:pt idx="0">
                  <c:v>0.5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'Least Squares Formula'!$H$23:$H$27</c:f>
              <c:numCache>
                <c:formatCode>0.0000</c:formatCode>
                <c:ptCount val="5"/>
                <c:pt idx="0">
                  <c:v>6.2750929368029782</c:v>
                </c:pt>
                <c:pt idx="1">
                  <c:v>6.7630111524163592</c:v>
                </c:pt>
                <c:pt idx="2">
                  <c:v>7.0418215613382911</c:v>
                </c:pt>
                <c:pt idx="3">
                  <c:v>7.3206319702602229</c:v>
                </c:pt>
                <c:pt idx="4">
                  <c:v>7.5994423791821548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48-4B82-AFF2-CCF43BE7D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3809871"/>
        <c:axId val="1133810351"/>
      </c:scatterChart>
      <c:valAx>
        <c:axId val="1133809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810351"/>
        <c:crosses val="autoZero"/>
        <c:crossBetween val="midCat"/>
      </c:valAx>
      <c:valAx>
        <c:axId val="1133810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809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Actual vs Fitted Values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 y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4472C4"/>
              </a:solidFill>
              <a:ln w="9525">
                <a:solidFill>
                  <a:srgbClr val="4472C4"/>
                </a:solidFill>
                <a:prstDash val="solid"/>
              </a:ln>
              <a:effectLst/>
            </c:spPr>
          </c:marker>
          <c:xVal>
            <c:numRef>
              <c:f>'Least Squares Formula'!$F$23:$F$27</c:f>
              <c:numCache>
                <c:formatCode>0.00</c:formatCode>
                <c:ptCount val="5"/>
                <c:pt idx="0">
                  <c:v>0.5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'Least Squares Formula'!$G$23:$G$27</c:f>
              <c:numCache>
                <c:formatCode>0.00</c:formatCode>
                <c:ptCount val="5"/>
                <c:pt idx="0">
                  <c:v>6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A0-45EB-A717-DBCD91FD146D}"/>
            </c:ext>
          </c:extLst>
        </c:ser>
        <c:ser>
          <c:idx val="1"/>
          <c:order val="1"/>
          <c:tx>
            <c:v>Fitted y</c:v>
          </c:tx>
          <c:spPr>
            <a:ln w="254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'Least Squares Formula'!$F$23:$F$27</c:f>
              <c:numCache>
                <c:formatCode>0.00</c:formatCode>
                <c:ptCount val="5"/>
                <c:pt idx="0">
                  <c:v>0.5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'Least Squares Formula'!$H$23:$H$27</c:f>
              <c:numCache>
                <c:formatCode>0.0000</c:formatCode>
                <c:ptCount val="5"/>
                <c:pt idx="0">
                  <c:v>6.2750929368029782</c:v>
                </c:pt>
                <c:pt idx="1">
                  <c:v>6.7630111524163592</c:v>
                </c:pt>
                <c:pt idx="2">
                  <c:v>7.0418215613382911</c:v>
                </c:pt>
                <c:pt idx="3">
                  <c:v>7.3206319702602229</c:v>
                </c:pt>
                <c:pt idx="4">
                  <c:v>7.5994423791821548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A0-45EB-A717-DBCD91FD1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1682895"/>
        <c:axId val="931680975"/>
      </c:scatterChart>
      <c:valAx>
        <c:axId val="931682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680975"/>
        <c:crosses val="autoZero"/>
        <c:crossBetween val="midCat"/>
      </c:valAx>
      <c:valAx>
        <c:axId val="93168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6828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 Consumption vs. Heating Degree Days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4472C4"/>
              </a:solidFill>
              <a:ln w="9525">
                <a:solidFill>
                  <a:srgbClr val="4472C4"/>
                </a:solidFill>
                <a:prstDash val="solid"/>
              </a:ln>
              <a:effectLst/>
            </c:spPr>
          </c:marker>
          <c:xVal>
            <c:numRef>
              <c:f>'Worked Example'!$F$6:$F$17</c:f>
              <c:numCache>
                <c:formatCode>#,##0</c:formatCode>
                <c:ptCount val="12"/>
                <c:pt idx="0">
                  <c:v>1050</c:v>
                </c:pt>
                <c:pt idx="1">
                  <c:v>920</c:v>
                </c:pt>
                <c:pt idx="2">
                  <c:v>710</c:v>
                </c:pt>
                <c:pt idx="3">
                  <c:v>390</c:v>
                </c:pt>
                <c:pt idx="4">
                  <c:v>140</c:v>
                </c:pt>
                <c:pt idx="5">
                  <c:v>20</c:v>
                </c:pt>
                <c:pt idx="6">
                  <c:v>0</c:v>
                </c:pt>
                <c:pt idx="7">
                  <c:v>5</c:v>
                </c:pt>
                <c:pt idx="8">
                  <c:v>120</c:v>
                </c:pt>
                <c:pt idx="9">
                  <c:v>430</c:v>
                </c:pt>
                <c:pt idx="10">
                  <c:v>680</c:v>
                </c:pt>
                <c:pt idx="11">
                  <c:v>980</c:v>
                </c:pt>
              </c:numCache>
            </c:numRef>
          </c:xVal>
          <c:yVal>
            <c:numRef>
              <c:f>'Worked Example'!$G$6:$G$17</c:f>
              <c:numCache>
                <c:formatCode>#,##0</c:formatCode>
                <c:ptCount val="12"/>
                <c:pt idx="0">
                  <c:v>285</c:v>
                </c:pt>
                <c:pt idx="1">
                  <c:v>258</c:v>
                </c:pt>
                <c:pt idx="2">
                  <c:v>198</c:v>
                </c:pt>
                <c:pt idx="3">
                  <c:v>128</c:v>
                </c:pt>
                <c:pt idx="4">
                  <c:v>72</c:v>
                </c:pt>
                <c:pt idx="5">
                  <c:v>45</c:v>
                </c:pt>
                <c:pt idx="6">
                  <c:v>38</c:v>
                </c:pt>
                <c:pt idx="7">
                  <c:v>40</c:v>
                </c:pt>
                <c:pt idx="8">
                  <c:v>65</c:v>
                </c:pt>
                <c:pt idx="9">
                  <c:v>135</c:v>
                </c:pt>
                <c:pt idx="10">
                  <c:v>190</c:v>
                </c:pt>
                <c:pt idx="11">
                  <c:v>270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87-45F5-873E-372DA3266119}"/>
            </c:ext>
          </c:extLst>
        </c:ser>
        <c:ser>
          <c:idx val="1"/>
          <c:order val="1"/>
          <c:tx>
            <c:v>Fitted Line</c:v>
          </c:tx>
          <c:spPr>
            <a:ln w="254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'Worked Example'!$F$6:$F$17</c:f>
              <c:numCache>
                <c:formatCode>#,##0</c:formatCode>
                <c:ptCount val="12"/>
                <c:pt idx="0">
                  <c:v>1050</c:v>
                </c:pt>
                <c:pt idx="1">
                  <c:v>920</c:v>
                </c:pt>
                <c:pt idx="2">
                  <c:v>710</c:v>
                </c:pt>
                <c:pt idx="3">
                  <c:v>390</c:v>
                </c:pt>
                <c:pt idx="4">
                  <c:v>140</c:v>
                </c:pt>
                <c:pt idx="5">
                  <c:v>20</c:v>
                </c:pt>
                <c:pt idx="6">
                  <c:v>0</c:v>
                </c:pt>
                <c:pt idx="7">
                  <c:v>5</c:v>
                </c:pt>
                <c:pt idx="8">
                  <c:v>120</c:v>
                </c:pt>
                <c:pt idx="9">
                  <c:v>430</c:v>
                </c:pt>
                <c:pt idx="10">
                  <c:v>680</c:v>
                </c:pt>
                <c:pt idx="11">
                  <c:v>980</c:v>
                </c:pt>
              </c:numCache>
            </c:numRef>
          </c:xVal>
          <c:yVal>
            <c:numRef>
              <c:f>'Worked Example'!$H$6:$H$17</c:f>
              <c:numCache>
                <c:formatCode>0.00</c:formatCode>
                <c:ptCount val="12"/>
                <c:pt idx="0">
                  <c:v>283.17602290010984</c:v>
                </c:pt>
                <c:pt idx="1">
                  <c:v>252.75888862699014</c:v>
                </c:pt>
                <c:pt idx="2">
                  <c:v>203.62351787810451</c:v>
                </c:pt>
                <c:pt idx="3">
                  <c:v>128.75057197504066</c:v>
                </c:pt>
                <c:pt idx="4">
                  <c:v>70.256082988272041</c:v>
                </c:pt>
                <c:pt idx="5">
                  <c:v>42.178728274623104</c:v>
                </c:pt>
                <c:pt idx="6">
                  <c:v>37.499169155681614</c:v>
                </c:pt>
                <c:pt idx="7">
                  <c:v>38.669058935416984</c:v>
                </c:pt>
                <c:pt idx="8">
                  <c:v>65.576523869330543</c:v>
                </c:pt>
                <c:pt idx="9">
                  <c:v>138.10969021292362</c:v>
                </c:pt>
                <c:pt idx="10">
                  <c:v>196.60417919969225</c:v>
                </c:pt>
                <c:pt idx="11">
                  <c:v>266.79756598381459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87-45F5-873E-372DA3266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1000655"/>
        <c:axId val="1131003055"/>
      </c:scatterChart>
      <c:valAx>
        <c:axId val="1131000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Heating Degree Days (HDD)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003055"/>
        <c:crosses val="autoZero"/>
        <c:crossBetween val="midCat"/>
      </c:valAx>
      <c:valAx>
        <c:axId val="113100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Therms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0006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Electricity (kWh) vs. Cooling Degree Days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4472C4"/>
              </a:solidFill>
              <a:ln w="9525">
                <a:solidFill>
                  <a:srgbClr val="4472C4"/>
                </a:solidFill>
                <a:prstDash val="solid"/>
              </a:ln>
              <a:effectLst/>
            </c:spPr>
          </c:marker>
          <c:xVal>
            <c:numRef>
              <c:f>Exercise!$F$7:$F$18</c:f>
              <c:numCache>
                <c:formatCode>#,##0</c:formatCode>
                <c:ptCount val="12"/>
                <c:pt idx="0">
                  <c:v>224</c:v>
                </c:pt>
                <c:pt idx="1">
                  <c:v>120</c:v>
                </c:pt>
                <c:pt idx="2">
                  <c:v>39</c:v>
                </c:pt>
                <c:pt idx="3">
                  <c:v>11</c:v>
                </c:pt>
                <c:pt idx="4">
                  <c:v>57</c:v>
                </c:pt>
                <c:pt idx="5">
                  <c:v>162</c:v>
                </c:pt>
                <c:pt idx="6">
                  <c:v>274</c:v>
                </c:pt>
                <c:pt idx="7">
                  <c:v>398</c:v>
                </c:pt>
                <c:pt idx="8">
                  <c:v>437</c:v>
                </c:pt>
                <c:pt idx="9">
                  <c:v>424</c:v>
                </c:pt>
                <c:pt idx="10">
                  <c:v>334</c:v>
                </c:pt>
                <c:pt idx="11">
                  <c:v>235</c:v>
                </c:pt>
              </c:numCache>
            </c:numRef>
          </c:xVal>
          <c:yVal>
            <c:numRef>
              <c:f>Exercise!$G$7:$G$18</c:f>
              <c:numCache>
                <c:formatCode>#,##0</c:formatCode>
                <c:ptCount val="12"/>
                <c:pt idx="0">
                  <c:v>6816</c:v>
                </c:pt>
                <c:pt idx="1">
                  <c:v>6193</c:v>
                </c:pt>
                <c:pt idx="2">
                  <c:v>5196</c:v>
                </c:pt>
                <c:pt idx="3">
                  <c:v>4749</c:v>
                </c:pt>
                <c:pt idx="4">
                  <c:v>5784</c:v>
                </c:pt>
                <c:pt idx="5">
                  <c:v>6472</c:v>
                </c:pt>
                <c:pt idx="6">
                  <c:v>7535</c:v>
                </c:pt>
                <c:pt idx="7">
                  <c:v>9335</c:v>
                </c:pt>
                <c:pt idx="8">
                  <c:v>8612</c:v>
                </c:pt>
                <c:pt idx="9">
                  <c:v>8456</c:v>
                </c:pt>
                <c:pt idx="10">
                  <c:v>7748</c:v>
                </c:pt>
                <c:pt idx="11">
                  <c:v>7303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72-47C0-B442-D60605D23E06}"/>
            </c:ext>
          </c:extLst>
        </c:ser>
        <c:ser>
          <c:idx val="1"/>
          <c:order val="1"/>
          <c:tx>
            <c:v>Fitted Line</c:v>
          </c:tx>
          <c:spPr>
            <a:ln w="254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Exercise!$F$7:$F$18</c:f>
              <c:numCache>
                <c:formatCode>#,##0</c:formatCode>
                <c:ptCount val="12"/>
                <c:pt idx="0">
                  <c:v>224</c:v>
                </c:pt>
                <c:pt idx="1">
                  <c:v>120</c:v>
                </c:pt>
                <c:pt idx="2">
                  <c:v>39</c:v>
                </c:pt>
                <c:pt idx="3">
                  <c:v>11</c:v>
                </c:pt>
                <c:pt idx="4">
                  <c:v>57</c:v>
                </c:pt>
                <c:pt idx="5">
                  <c:v>162</c:v>
                </c:pt>
                <c:pt idx="6">
                  <c:v>274</c:v>
                </c:pt>
                <c:pt idx="7">
                  <c:v>398</c:v>
                </c:pt>
                <c:pt idx="8">
                  <c:v>437</c:v>
                </c:pt>
                <c:pt idx="9">
                  <c:v>424</c:v>
                </c:pt>
                <c:pt idx="10">
                  <c:v>334</c:v>
                </c:pt>
                <c:pt idx="11">
                  <c:v>235</c:v>
                </c:pt>
              </c:numCache>
            </c:numRef>
          </c:xVal>
          <c:yVal>
            <c:numRef>
              <c:f>Exercise!$H$7:$H$18</c:f>
              <c:numCache>
                <c:formatCode>0.00</c:formatCode>
                <c:ptCount val="12"/>
                <c:pt idx="0">
                  <c:v>6996.2115321324945</c:v>
                </c:pt>
                <c:pt idx="1">
                  <c:v>6054.5816099603271</c:v>
                </c:pt>
                <c:pt idx="2">
                  <c:v>5321.1967667300805</c:v>
                </c:pt>
                <c:pt idx="3">
                  <c:v>5067.6810184529586</c:v>
                </c:pt>
                <c:pt idx="4">
                  <c:v>5484.1711763368021</c:v>
                </c:pt>
                <c:pt idx="5">
                  <c:v>6434.8552323760105</c:v>
                </c:pt>
                <c:pt idx="6">
                  <c:v>7448.9182254844991</c:v>
                </c:pt>
                <c:pt idx="7">
                  <c:v>8571.6308249974682</c:v>
                </c:pt>
                <c:pt idx="8">
                  <c:v>8924.7420458120323</c:v>
                </c:pt>
                <c:pt idx="9">
                  <c:v>8807.0383055405109</c:v>
                </c:pt>
                <c:pt idx="10">
                  <c:v>7992.166257506904</c:v>
                </c:pt>
                <c:pt idx="11">
                  <c:v>7095.8070046699358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572-47C0-B442-D60605D23E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1299183"/>
        <c:axId val="1131303503"/>
      </c:scatterChart>
      <c:valAx>
        <c:axId val="1131299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Cooling Degree Days (CDD)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303503"/>
        <c:crosses val="autoZero"/>
        <c:crossBetween val="midCat"/>
      </c:valAx>
      <c:valAx>
        <c:axId val="113130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2991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774700</xdr:colOff>
      <xdr:row>36</xdr:row>
      <xdr:rowOff>139699</xdr:rowOff>
    </xdr:from>
    <xdr:to>
      <xdr:col>15</xdr:col>
      <xdr:colOff>92075</xdr:colOff>
      <xdr:row>55</xdr:row>
      <xdr:rowOff>76199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C8EDDDD-39CA-A4B5-11F1-831934F3B9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774700</xdr:colOff>
      <xdr:row>36</xdr:row>
      <xdr:rowOff>139699</xdr:rowOff>
    </xdr:from>
    <xdr:to>
      <xdr:col>15</xdr:col>
      <xdr:colOff>92075</xdr:colOff>
      <xdr:row>55</xdr:row>
      <xdr:rowOff>76199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40D2563-629F-E676-B149-6728AF415D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927100</xdr:colOff>
      <xdr:row>34</xdr:row>
      <xdr:rowOff>79375</xdr:rowOff>
    </xdr:from>
    <xdr:to>
      <xdr:col>11</xdr:col>
      <xdr:colOff>355600</xdr:colOff>
      <xdr:row>54</xdr:row>
      <xdr:rowOff>60325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D370DB-B696-D23C-1F2D-90319CCF3E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193675</xdr:colOff>
      <xdr:row>23</xdr:row>
      <xdr:rowOff>12700</xdr:rowOff>
    </xdr:from>
    <xdr:to>
      <xdr:col>10</xdr:col>
      <xdr:colOff>231775</xdr:colOff>
      <xdr:row>42</xdr:row>
      <xdr:rowOff>155575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68E679-1FF3-F51D-9C76-6FBF744904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17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AE8EA30-D0A0-48DC-A715-A4D3DA46D04C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opLeftCell="A7" zoomScale="80" zoomScaleNormal="80" workbookViewId="0">
      <selection activeCell="F43" sqref="F43"/>
    </sheetView>
  </sheetViews>
  <sheetFormatPr defaultColWidth="8.85546875" defaultRowHeight="15" x14ac:dyDescent="0.25"/>
  <cols>
    <col min="1" max="1" width="27.5703125" customWidth="1"/>
    <col min="2" max="8" width="15.28515625" customWidth="1"/>
  </cols>
  <sheetData>
    <row r="1" spans="1:8" ht="18.75" x14ac:dyDescent="0.3">
      <c r="A1" s="3" t="s">
        <v>4</v>
      </c>
      <c r="B1" s="3"/>
      <c r="C1" s="3"/>
      <c r="D1" s="3"/>
      <c r="E1" s="3"/>
      <c r="F1" s="3"/>
      <c r="G1" s="3"/>
    </row>
    <row r="2" spans="1:8" x14ac:dyDescent="0.25">
      <c r="A2" s="4" t="s">
        <v>5</v>
      </c>
      <c r="B2" s="4"/>
      <c r="C2" s="4"/>
      <c r="D2" s="4"/>
      <c r="E2" s="4"/>
      <c r="F2" s="4"/>
      <c r="G2" s="4"/>
      <c r="H2" s="2" t="s">
        <v>6</v>
      </c>
    </row>
    <row r="3" spans="1:8" x14ac:dyDescent="0.25">
      <c r="H3" s="5" t="s">
        <v>7</v>
      </c>
    </row>
    <row r="4" spans="1:8" x14ac:dyDescent="0.25">
      <c r="A4" s="6" t="s">
        <v>8</v>
      </c>
      <c r="B4" s="7"/>
      <c r="C4" s="7"/>
      <c r="D4" s="7"/>
      <c r="E4" s="7"/>
      <c r="F4" s="7"/>
      <c r="G4" s="7"/>
      <c r="H4" s="7"/>
    </row>
    <row r="5" spans="1:8" ht="15.75" thickBot="1" x14ac:dyDescent="0.3">
      <c r="A5" s="9" t="s">
        <v>9</v>
      </c>
      <c r="B5" s="9" t="s">
        <v>0</v>
      </c>
      <c r="C5" s="9" t="s">
        <v>1</v>
      </c>
      <c r="D5" s="9" t="s">
        <v>10</v>
      </c>
      <c r="E5" s="9" t="s">
        <v>11</v>
      </c>
    </row>
    <row r="6" spans="1:8" x14ac:dyDescent="0.25">
      <c r="A6" s="12">
        <v>1</v>
      </c>
      <c r="B6" s="13">
        <v>0.5</v>
      </c>
      <c r="C6" s="13">
        <v>6</v>
      </c>
      <c r="D6" s="14">
        <f>B6*C6</f>
        <v>3</v>
      </c>
      <c r="E6" s="14">
        <f>B6^2</f>
        <v>0.25</v>
      </c>
    </row>
    <row r="7" spans="1:8" x14ac:dyDescent="0.25">
      <c r="A7" s="12">
        <v>2</v>
      </c>
      <c r="B7" s="13">
        <v>4</v>
      </c>
      <c r="C7" s="13">
        <v>7</v>
      </c>
      <c r="D7" s="14">
        <f>B7*C7</f>
        <v>28</v>
      </c>
      <c r="E7" s="14">
        <f>B7^2</f>
        <v>16</v>
      </c>
    </row>
    <row r="8" spans="1:8" x14ac:dyDescent="0.25">
      <c r="A8" s="12">
        <v>3</v>
      </c>
      <c r="B8" s="13">
        <v>6</v>
      </c>
      <c r="C8" s="13">
        <v>7</v>
      </c>
      <c r="D8" s="14">
        <f>B8*C8</f>
        <v>42</v>
      </c>
      <c r="E8" s="14">
        <f>B8^2</f>
        <v>36</v>
      </c>
    </row>
    <row r="9" spans="1:8" x14ac:dyDescent="0.25">
      <c r="A9" s="12">
        <v>4</v>
      </c>
      <c r="B9" s="13">
        <v>8</v>
      </c>
      <c r="C9" s="13">
        <v>8</v>
      </c>
      <c r="D9" s="14">
        <f>B9*C9</f>
        <v>64</v>
      </c>
      <c r="E9" s="14">
        <f>B9^2</f>
        <v>64</v>
      </c>
    </row>
    <row r="10" spans="1:8" ht="15.75" thickBot="1" x14ac:dyDescent="0.3">
      <c r="A10" s="12">
        <v>5</v>
      </c>
      <c r="B10" s="13">
        <v>10</v>
      </c>
      <c r="C10" s="13">
        <v>7</v>
      </c>
      <c r="D10" s="14">
        <f>B10*C10</f>
        <v>70</v>
      </c>
      <c r="E10" s="14">
        <f>B10^2</f>
        <v>100</v>
      </c>
    </row>
    <row r="11" spans="1:8" x14ac:dyDescent="0.25">
      <c r="A11" s="16" t="s">
        <v>12</v>
      </c>
      <c r="B11" s="18">
        <f>SUM(B6:B10)</f>
        <v>28.5</v>
      </c>
      <c r="C11" s="18">
        <f>SUM(C6:C10)</f>
        <v>35</v>
      </c>
      <c r="D11" s="18">
        <f>SUM(D6:D10)</f>
        <v>207</v>
      </c>
      <c r="E11" s="18">
        <f>SUM(E6:E10)</f>
        <v>216.25</v>
      </c>
    </row>
    <row r="12" spans="1:8" x14ac:dyDescent="0.25">
      <c r="A12" s="15" t="s">
        <v>13</v>
      </c>
      <c r="B12" s="19">
        <f>COUNT(B6:B10)</f>
        <v>5</v>
      </c>
      <c r="C12" s="20" t="s">
        <v>3</v>
      </c>
      <c r="D12" s="17">
        <f>B11/B12</f>
        <v>5.7</v>
      </c>
      <c r="E12" s="21"/>
    </row>
    <row r="14" spans="1:8" x14ac:dyDescent="0.25">
      <c r="A14" s="6" t="s">
        <v>14</v>
      </c>
      <c r="B14" s="7"/>
      <c r="C14" s="7"/>
      <c r="D14" s="7"/>
      <c r="E14" s="7"/>
      <c r="F14" s="7"/>
      <c r="G14" s="7"/>
      <c r="H14" s="7"/>
    </row>
    <row r="15" spans="1:8" x14ac:dyDescent="0.25">
      <c r="A15" s="23" t="s">
        <v>15</v>
      </c>
      <c r="B15" s="25">
        <f>B12</f>
        <v>5</v>
      </c>
      <c r="C15" s="26">
        <f>B11</f>
        <v>28.5</v>
      </c>
      <c r="E15" s="23" t="s">
        <v>16</v>
      </c>
      <c r="F15" s="27" cm="1">
        <f t="array" ref="F15:G16">MINVERSE(B15:C16)</f>
        <v>0.80390334572490718</v>
      </c>
      <c r="G15" s="28">
        <v>-0.10594795539033457</v>
      </c>
    </row>
    <row r="16" spans="1:8" x14ac:dyDescent="0.25">
      <c r="A16" s="29"/>
      <c r="B16" s="30">
        <f>B11</f>
        <v>28.5</v>
      </c>
      <c r="C16" s="31">
        <f>E11</f>
        <v>216.25</v>
      </c>
      <c r="E16" s="29"/>
      <c r="F16" s="32">
        <v>-0.10594795539033459</v>
      </c>
      <c r="G16" s="33">
        <v>1.858736059479554E-2</v>
      </c>
    </row>
    <row r="18" spans="1:8" x14ac:dyDescent="0.25">
      <c r="A18" s="23" t="s">
        <v>17</v>
      </c>
      <c r="B18" s="36">
        <f>C11</f>
        <v>35</v>
      </c>
      <c r="C18" s="35" t="s">
        <v>18</v>
      </c>
      <c r="E18" s="35" t="s">
        <v>19</v>
      </c>
    </row>
    <row r="19" spans="1:8" x14ac:dyDescent="0.25">
      <c r="A19" s="29"/>
      <c r="B19" s="34">
        <f>D11</f>
        <v>207</v>
      </c>
      <c r="C19" s="35" t="s">
        <v>20</v>
      </c>
      <c r="E19" s="35" t="s">
        <v>21</v>
      </c>
    </row>
    <row r="21" spans="1:8" x14ac:dyDescent="0.25">
      <c r="A21" s="6" t="s">
        <v>22</v>
      </c>
      <c r="B21" s="7"/>
      <c r="C21" s="7"/>
      <c r="D21" s="7"/>
      <c r="E21" s="7"/>
      <c r="F21" s="51" t="s">
        <v>49</v>
      </c>
      <c r="G21" s="7"/>
      <c r="H21" s="7"/>
    </row>
    <row r="22" spans="1:8" ht="15.75" thickBot="1" x14ac:dyDescent="0.3">
      <c r="A22" s="29"/>
      <c r="B22" s="9" t="s">
        <v>23</v>
      </c>
      <c r="C22" s="9" t="s">
        <v>24</v>
      </c>
      <c r="E22" s="37" t="s">
        <v>25</v>
      </c>
      <c r="F22" s="9" t="s">
        <v>0</v>
      </c>
      <c r="G22" s="9" t="s">
        <v>47</v>
      </c>
      <c r="H22" s="9" t="s">
        <v>48</v>
      </c>
    </row>
    <row r="23" spans="1:8" ht="15.75" x14ac:dyDescent="0.25">
      <c r="A23" s="22" t="s">
        <v>26</v>
      </c>
      <c r="B23" s="38" t="s">
        <v>27</v>
      </c>
      <c r="C23" s="39">
        <f>(F15*B18)+(G15*B19)</f>
        <v>6.2053903345724954</v>
      </c>
      <c r="E23" s="40" t="str">
        <f>"y = "&amp;TEXT(C23,"0.0000")&amp;" + "&amp;TEXT(C24,"0.0000")&amp;" · x"</f>
        <v>y = 6.2054 + 0.1394 · x</v>
      </c>
      <c r="F23" s="50">
        <f>B6</f>
        <v>0.5</v>
      </c>
      <c r="G23" s="50">
        <f>C6</f>
        <v>6</v>
      </c>
      <c r="H23" s="14">
        <f>$C$23+$C$24*F23</f>
        <v>6.2750929368029782</v>
      </c>
    </row>
    <row r="24" spans="1:8" ht="15.75" x14ac:dyDescent="0.25">
      <c r="A24" s="22" t="s">
        <v>28</v>
      </c>
      <c r="B24" s="38" t="s">
        <v>29</v>
      </c>
      <c r="C24" s="41">
        <f>(F16*B18)+(G16*B19)</f>
        <v>0.13940520446096594</v>
      </c>
      <c r="F24" s="50">
        <f>B7</f>
        <v>4</v>
      </c>
      <c r="G24" s="50">
        <f>C7</f>
        <v>7</v>
      </c>
      <c r="H24" s="14">
        <f>$C$23+$C$24*F24</f>
        <v>6.7630111524163592</v>
      </c>
    </row>
    <row r="25" spans="1:8" x14ac:dyDescent="0.25">
      <c r="F25" s="50">
        <f>B8</f>
        <v>6</v>
      </c>
      <c r="G25" s="50">
        <f>C8</f>
        <v>7</v>
      </c>
      <c r="H25" s="14">
        <f>$C$23+$C$24*F25</f>
        <v>7.0418215613382911</v>
      </c>
    </row>
    <row r="26" spans="1:8" x14ac:dyDescent="0.25">
      <c r="A26" s="6" t="s">
        <v>30</v>
      </c>
      <c r="B26" s="7"/>
      <c r="C26" s="7"/>
      <c r="D26" s="7"/>
      <c r="E26" s="7"/>
      <c r="F26" s="50">
        <f>B9</f>
        <v>8</v>
      </c>
      <c r="G26" s="50">
        <f>C9</f>
        <v>8</v>
      </c>
      <c r="H26" s="14">
        <f>$C$23+$C$24*F26</f>
        <v>7.3206319702602229</v>
      </c>
    </row>
    <row r="27" spans="1:8" ht="15.75" thickBot="1" x14ac:dyDescent="0.3">
      <c r="A27" s="9" t="s">
        <v>31</v>
      </c>
      <c r="B27" s="9" t="s">
        <v>32</v>
      </c>
      <c r="C27" s="9" t="s">
        <v>33</v>
      </c>
      <c r="D27" s="9" t="s">
        <v>34</v>
      </c>
      <c r="F27" s="50">
        <f>B10</f>
        <v>10</v>
      </c>
      <c r="G27" s="50">
        <f>C10</f>
        <v>7</v>
      </c>
      <c r="H27" s="14">
        <f>$C$23+$C$24*F27</f>
        <v>7.5994423791821548</v>
      </c>
    </row>
    <row r="28" spans="1:8" x14ac:dyDescent="0.25">
      <c r="A28" s="22" t="s">
        <v>35</v>
      </c>
      <c r="B28" s="43" cm="1">
        <f t="array" ref="B28:C32">LINEST(C6:C10,B6:B10,1,1)</f>
        <v>0.13940520446096655</v>
      </c>
      <c r="C28" s="45">
        <v>6.205390334572491</v>
      </c>
      <c r="D28" s="11" t="str">
        <f>IF(ROUND(C24,8)=ROUND(B28,8),"✅ Match","❌ Mismatch")</f>
        <v>✅ Match</v>
      </c>
    </row>
    <row r="29" spans="1:8" x14ac:dyDescent="0.25">
      <c r="A29" s="10" t="s">
        <v>36</v>
      </c>
      <c r="B29" s="46">
        <v>7.6900173729294863E-2</v>
      </c>
      <c r="C29" s="47">
        <v>0.50573193306584407</v>
      </c>
    </row>
    <row r="30" spans="1:8" x14ac:dyDescent="0.25">
      <c r="A30" s="10" t="s">
        <v>37</v>
      </c>
      <c r="B30" s="14">
        <v>0.52276951672862448</v>
      </c>
      <c r="C30" s="14">
        <v>0.56405111072867353</v>
      </c>
    </row>
    <row r="31" spans="1:8" x14ac:dyDescent="0.25">
      <c r="A31" s="10" t="s">
        <v>38</v>
      </c>
      <c r="B31" s="14">
        <v>3.2862706913339816</v>
      </c>
      <c r="C31" s="48">
        <v>3</v>
      </c>
      <c r="D31" s="35" t="s">
        <v>39</v>
      </c>
    </row>
    <row r="32" spans="1:8" x14ac:dyDescent="0.25">
      <c r="A32" s="10" t="s">
        <v>40</v>
      </c>
      <c r="B32" s="14">
        <v>1.045539033457249</v>
      </c>
      <c r="C32" s="14">
        <v>0.95446096654275103</v>
      </c>
      <c r="D32" s="35" t="s">
        <v>41</v>
      </c>
    </row>
    <row r="35" spans="1:4" ht="15.75" thickBot="1" x14ac:dyDescent="0.3">
      <c r="A35" s="49" t="s">
        <v>42</v>
      </c>
      <c r="B35" s="9" t="s">
        <v>23</v>
      </c>
      <c r="C35" s="9" t="s">
        <v>24</v>
      </c>
      <c r="D35" s="9" t="s">
        <v>34</v>
      </c>
    </row>
    <row r="36" spans="1:4" x14ac:dyDescent="0.25">
      <c r="A36" s="10" t="s">
        <v>43</v>
      </c>
      <c r="B36" s="38" t="s">
        <v>44</v>
      </c>
      <c r="C36" s="47">
        <f>SQRT(C30^2*((1/B12)+(D12^2/DEVSQ(B6:B10))))</f>
        <v>0.50573193306584407</v>
      </c>
      <c r="D36" s="11" t="str">
        <f>IF(ROUND(C36,8)=ROUND(C29,8),"✅ Match","❌ Mismatch")</f>
        <v>✅ Match</v>
      </c>
    </row>
    <row r="37" spans="1:4" x14ac:dyDescent="0.25">
      <c r="A37" s="10" t="s">
        <v>45</v>
      </c>
      <c r="B37" s="38" t="s">
        <v>46</v>
      </c>
      <c r="C37" s="46">
        <f>SQRT(C30^2/DEVSQ(B6:B10))</f>
        <v>7.6900173729294863E-2</v>
      </c>
      <c r="D37" s="11" t="str">
        <f>IF(ROUND(C37,8)=ROUND(B29,8),"✅ Match","❌ Mismatch")</f>
        <v>✅ Match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0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C77F1-ECF3-4C02-81E6-1A54EC8F5853}">
  <dimension ref="B1:D67"/>
  <sheetViews>
    <sheetView topLeftCell="A43" workbookViewId="0">
      <selection activeCell="B40" sqref="B40"/>
    </sheetView>
  </sheetViews>
  <sheetFormatPr defaultRowHeight="15" x14ac:dyDescent="0.25"/>
  <cols>
    <col min="1" max="1" width="5.7109375" customWidth="1"/>
    <col min="2" max="2" width="69.42578125" customWidth="1"/>
    <col min="3" max="3" width="5.7109375" customWidth="1"/>
    <col min="4" max="4" width="66.7109375" customWidth="1"/>
  </cols>
  <sheetData>
    <row r="1" spans="2:4" ht="21" x14ac:dyDescent="0.35">
      <c r="B1" s="52" t="s">
        <v>50</v>
      </c>
      <c r="C1" s="52"/>
      <c r="D1" s="52"/>
    </row>
    <row r="2" spans="2:4" x14ac:dyDescent="0.25">
      <c r="B2" s="4" t="s">
        <v>51</v>
      </c>
      <c r="C2" s="4"/>
      <c r="D2" s="4"/>
    </row>
    <row r="4" spans="2:4" ht="17.25" x14ac:dyDescent="0.3">
      <c r="B4" s="53" t="s">
        <v>52</v>
      </c>
      <c r="C4" s="7"/>
      <c r="D4" s="7"/>
    </row>
    <row r="6" spans="2:4" x14ac:dyDescent="0.25">
      <c r="B6" s="10" t="s">
        <v>53</v>
      </c>
      <c r="D6" s="55" t="s">
        <v>58</v>
      </c>
    </row>
    <row r="7" spans="2:4" x14ac:dyDescent="0.25">
      <c r="B7" s="10" t="s">
        <v>54</v>
      </c>
      <c r="D7" s="24" t="s">
        <v>59</v>
      </c>
    </row>
    <row r="8" spans="2:4" ht="18.75" x14ac:dyDescent="0.3">
      <c r="B8" s="54" t="s">
        <v>55</v>
      </c>
      <c r="D8" s="24" t="s">
        <v>60</v>
      </c>
    </row>
    <row r="10" spans="2:4" x14ac:dyDescent="0.25">
      <c r="B10" s="44" t="s">
        <v>56</v>
      </c>
      <c r="D10" s="56" t="s">
        <v>61</v>
      </c>
    </row>
    <row r="11" spans="2:4" x14ac:dyDescent="0.25">
      <c r="B11" s="42" t="s">
        <v>57</v>
      </c>
      <c r="D11" s="57" t="s">
        <v>62</v>
      </c>
    </row>
    <row r="13" spans="2:4" ht="17.25" x14ac:dyDescent="0.3">
      <c r="B13" s="53" t="s">
        <v>63</v>
      </c>
      <c r="C13" s="7"/>
      <c r="D13" s="7"/>
    </row>
    <row r="15" spans="2:4" x14ac:dyDescent="0.25">
      <c r="B15" s="10" t="s">
        <v>64</v>
      </c>
      <c r="D15" s="55" t="s">
        <v>70</v>
      </c>
    </row>
    <row r="16" spans="2:4" x14ac:dyDescent="0.25">
      <c r="B16" s="10" t="s">
        <v>65</v>
      </c>
    </row>
    <row r="17" spans="2:4" x14ac:dyDescent="0.25">
      <c r="D17" s="24" t="s">
        <v>71</v>
      </c>
    </row>
    <row r="18" spans="2:4" ht="15.75" x14ac:dyDescent="0.25">
      <c r="B18" s="58" t="s">
        <v>66</v>
      </c>
      <c r="D18" s="56" t="s">
        <v>72</v>
      </c>
    </row>
    <row r="19" spans="2:4" x14ac:dyDescent="0.25">
      <c r="D19" s="24" t="s">
        <v>73</v>
      </c>
    </row>
    <row r="20" spans="2:4" x14ac:dyDescent="0.25">
      <c r="B20" s="10" t="s">
        <v>67</v>
      </c>
    </row>
    <row r="21" spans="2:4" x14ac:dyDescent="0.25">
      <c r="D21" s="24" t="s">
        <v>74</v>
      </c>
    </row>
    <row r="22" spans="2:4" ht="17.25" x14ac:dyDescent="0.3">
      <c r="B22" s="59" t="s">
        <v>68</v>
      </c>
      <c r="D22" s="24" t="s">
        <v>75</v>
      </c>
    </row>
    <row r="24" spans="2:4" x14ac:dyDescent="0.25">
      <c r="B24" s="1" t="s">
        <v>69</v>
      </c>
    </row>
    <row r="26" spans="2:4" ht="17.25" x14ac:dyDescent="0.3">
      <c r="B26" s="53" t="s">
        <v>76</v>
      </c>
      <c r="C26" s="7"/>
      <c r="D26" s="7"/>
    </row>
    <row r="28" spans="2:4" ht="15.75" x14ac:dyDescent="0.25">
      <c r="B28" s="60" t="s">
        <v>77</v>
      </c>
      <c r="D28" s="8" t="s">
        <v>78</v>
      </c>
    </row>
    <row r="29" spans="2:4" x14ac:dyDescent="0.25">
      <c r="B29" s="10" t="s">
        <v>79</v>
      </c>
      <c r="D29" s="61" t="s">
        <v>80</v>
      </c>
    </row>
    <row r="31" spans="2:4" ht="15.75" x14ac:dyDescent="0.25">
      <c r="B31" s="60" t="s">
        <v>81</v>
      </c>
      <c r="D31" s="62" t="s">
        <v>82</v>
      </c>
    </row>
    <row r="32" spans="2:4" x14ac:dyDescent="0.25">
      <c r="B32" s="10" t="s">
        <v>83</v>
      </c>
      <c r="D32" s="62" t="s">
        <v>84</v>
      </c>
    </row>
    <row r="34" spans="2:4" ht="15.75" x14ac:dyDescent="0.25">
      <c r="B34" s="60" t="s">
        <v>85</v>
      </c>
      <c r="D34" s="62" t="s">
        <v>86</v>
      </c>
    </row>
    <row r="35" spans="2:4" x14ac:dyDescent="0.25">
      <c r="B35" s="10" t="s">
        <v>87</v>
      </c>
      <c r="D35" s="62" t="s">
        <v>88</v>
      </c>
    </row>
    <row r="37" spans="2:4" ht="15.75" x14ac:dyDescent="0.25">
      <c r="B37" s="60" t="s">
        <v>89</v>
      </c>
      <c r="D37" s="62" t="s">
        <v>90</v>
      </c>
    </row>
    <row r="38" spans="2:4" x14ac:dyDescent="0.25">
      <c r="B38" s="10" t="s">
        <v>91</v>
      </c>
      <c r="D38" s="61" t="s">
        <v>92</v>
      </c>
    </row>
    <row r="39" spans="2:4" x14ac:dyDescent="0.25">
      <c r="B39" s="10" t="s">
        <v>93</v>
      </c>
      <c r="D39" s="61" t="s">
        <v>94</v>
      </c>
    </row>
    <row r="41" spans="2:4" ht="15.75" x14ac:dyDescent="0.25">
      <c r="B41" s="60" t="s">
        <v>95</v>
      </c>
      <c r="D41" s="63" t="s">
        <v>96</v>
      </c>
    </row>
    <row r="42" spans="2:4" x14ac:dyDescent="0.25">
      <c r="B42" s="10" t="s">
        <v>97</v>
      </c>
    </row>
    <row r="43" spans="2:4" x14ac:dyDescent="0.25">
      <c r="B43" s="22" t="s">
        <v>98</v>
      </c>
      <c r="D43" s="64" t="s">
        <v>99</v>
      </c>
    </row>
    <row r="45" spans="2:4" x14ac:dyDescent="0.25">
      <c r="B45" s="15" t="s">
        <v>100</v>
      </c>
      <c r="D45" s="65" t="s">
        <v>101</v>
      </c>
    </row>
    <row r="47" spans="2:4" ht="17.25" x14ac:dyDescent="0.3">
      <c r="B47" s="53" t="s">
        <v>102</v>
      </c>
      <c r="C47" s="7"/>
      <c r="D47" s="7"/>
    </row>
    <row r="49" spans="2:4" ht="15.75" thickBot="1" x14ac:dyDescent="0.3">
      <c r="B49" s="9" t="s">
        <v>103</v>
      </c>
      <c r="D49" s="49" t="s">
        <v>104</v>
      </c>
    </row>
    <row r="50" spans="2:4" x14ac:dyDescent="0.25">
      <c r="B50" s="66" t="s">
        <v>26</v>
      </c>
      <c r="D50" s="10" t="s">
        <v>105</v>
      </c>
    </row>
    <row r="51" spans="2:4" x14ac:dyDescent="0.25">
      <c r="B51" s="67" t="s">
        <v>28</v>
      </c>
      <c r="D51" s="10" t="s">
        <v>106</v>
      </c>
    </row>
    <row r="52" spans="2:4" x14ac:dyDescent="0.25">
      <c r="B52" s="22" t="s">
        <v>37</v>
      </c>
      <c r="D52" s="10" t="s">
        <v>107</v>
      </c>
    </row>
    <row r="53" spans="2:4" x14ac:dyDescent="0.25">
      <c r="B53" s="22" t="s">
        <v>108</v>
      </c>
      <c r="D53" s="10" t="s">
        <v>109</v>
      </c>
    </row>
    <row r="54" spans="2:4" x14ac:dyDescent="0.25">
      <c r="B54" s="22" t="s">
        <v>110</v>
      </c>
      <c r="D54" s="10" t="s">
        <v>111</v>
      </c>
    </row>
    <row r="55" spans="2:4" x14ac:dyDescent="0.25">
      <c r="B55" s="22" t="s">
        <v>38</v>
      </c>
      <c r="D55" s="10" t="s">
        <v>112</v>
      </c>
    </row>
    <row r="56" spans="2:4" x14ac:dyDescent="0.25">
      <c r="B56" s="22" t="s">
        <v>113</v>
      </c>
      <c r="D56" s="10" t="s">
        <v>114</v>
      </c>
    </row>
    <row r="58" spans="2:4" ht="17.25" x14ac:dyDescent="0.3">
      <c r="B58" s="53" t="s">
        <v>115</v>
      </c>
      <c r="C58" s="7"/>
      <c r="D58" s="7"/>
    </row>
    <row r="60" spans="2:4" ht="15.75" thickBot="1" x14ac:dyDescent="0.3">
      <c r="B60" s="9" t="s">
        <v>116</v>
      </c>
      <c r="D60" s="49" t="s">
        <v>117</v>
      </c>
    </row>
    <row r="61" spans="2:4" x14ac:dyDescent="0.25">
      <c r="B61" s="68" t="s">
        <v>118</v>
      </c>
      <c r="D61" s="10" t="s">
        <v>119</v>
      </c>
    </row>
    <row r="62" spans="2:4" x14ac:dyDescent="0.25">
      <c r="B62" s="68" t="s">
        <v>120</v>
      </c>
      <c r="D62" s="10" t="s">
        <v>121</v>
      </c>
    </row>
    <row r="63" spans="2:4" x14ac:dyDescent="0.25">
      <c r="B63" s="68" t="s">
        <v>122</v>
      </c>
      <c r="D63" s="10" t="s">
        <v>123</v>
      </c>
    </row>
    <row r="64" spans="2:4" x14ac:dyDescent="0.25">
      <c r="B64" s="68" t="s">
        <v>124</v>
      </c>
      <c r="D64" s="10" t="s">
        <v>125</v>
      </c>
    </row>
    <row r="65" spans="2:4" x14ac:dyDescent="0.25">
      <c r="B65" s="68" t="s">
        <v>126</v>
      </c>
      <c r="D65" s="10" t="s">
        <v>127</v>
      </c>
    </row>
    <row r="66" spans="2:4" x14ac:dyDescent="0.25">
      <c r="B66" s="68" t="s">
        <v>128</v>
      </c>
      <c r="D66" s="10" t="s">
        <v>129</v>
      </c>
    </row>
    <row r="67" spans="2:4" x14ac:dyDescent="0.25">
      <c r="B67" s="68" t="s">
        <v>130</v>
      </c>
      <c r="D67" s="10" t="s">
        <v>131</v>
      </c>
    </row>
  </sheetData>
  <mergeCells count="2">
    <mergeCell ref="B1:D1"/>
    <mergeCell ref="B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29447-FA84-4286-8143-AB712142B9D2}">
  <dimension ref="A1:H47"/>
  <sheetViews>
    <sheetView topLeftCell="A26" workbookViewId="0">
      <selection activeCell="F43" sqref="F43"/>
    </sheetView>
  </sheetViews>
  <sheetFormatPr defaultRowHeight="15" x14ac:dyDescent="0.25"/>
  <cols>
    <col min="1" max="1" width="27.5703125" customWidth="1"/>
    <col min="2" max="8" width="15.28515625" customWidth="1"/>
  </cols>
  <sheetData>
    <row r="1" spans="1:8" ht="18.75" x14ac:dyDescent="0.3">
      <c r="A1" s="3" t="s">
        <v>132</v>
      </c>
      <c r="B1" s="3"/>
      <c r="C1" s="3"/>
      <c r="D1" s="3"/>
      <c r="E1" s="3"/>
      <c r="F1" s="3"/>
      <c r="G1" s="3"/>
      <c r="H1" s="3"/>
    </row>
    <row r="2" spans="1:8" x14ac:dyDescent="0.25">
      <c r="A2" s="4" t="s">
        <v>133</v>
      </c>
      <c r="B2" s="4"/>
      <c r="C2" s="4"/>
      <c r="D2" s="4"/>
      <c r="E2" s="4"/>
      <c r="F2" s="4"/>
      <c r="G2" s="4"/>
      <c r="H2" s="4"/>
    </row>
    <row r="4" spans="1:8" x14ac:dyDescent="0.25">
      <c r="A4" s="6" t="s">
        <v>134</v>
      </c>
      <c r="B4" s="7"/>
      <c r="C4" s="7"/>
      <c r="D4" s="7"/>
      <c r="E4" s="7"/>
      <c r="F4" s="51" t="s">
        <v>49</v>
      </c>
      <c r="G4" s="7"/>
      <c r="H4" s="7"/>
    </row>
    <row r="5" spans="1:8" ht="15.75" thickBot="1" x14ac:dyDescent="0.3">
      <c r="A5" s="9" t="s">
        <v>135</v>
      </c>
      <c r="B5" s="9" t="s">
        <v>136</v>
      </c>
      <c r="C5" s="9" t="s">
        <v>137</v>
      </c>
      <c r="D5" s="9" t="s">
        <v>10</v>
      </c>
      <c r="E5" s="9" t="s">
        <v>11</v>
      </c>
      <c r="F5" s="9" t="s">
        <v>167</v>
      </c>
      <c r="G5" s="9" t="s">
        <v>168</v>
      </c>
      <c r="H5" s="9" t="s">
        <v>169</v>
      </c>
    </row>
    <row r="6" spans="1:8" x14ac:dyDescent="0.25">
      <c r="A6" s="11" t="s">
        <v>138</v>
      </c>
      <c r="B6" s="69">
        <v>1050</v>
      </c>
      <c r="C6" s="69">
        <v>285</v>
      </c>
      <c r="D6" s="70">
        <f>B6*C6</f>
        <v>299250</v>
      </c>
      <c r="E6" s="70">
        <f>B6^2</f>
        <v>1102500</v>
      </c>
      <c r="F6" s="70">
        <f>B6</f>
        <v>1050</v>
      </c>
      <c r="G6" s="70">
        <f>C6</f>
        <v>285</v>
      </c>
      <c r="H6" s="50">
        <f>$B$30+$B$31*F6</f>
        <v>283.17602290010984</v>
      </c>
    </row>
    <row r="7" spans="1:8" x14ac:dyDescent="0.25">
      <c r="A7" s="11" t="s">
        <v>139</v>
      </c>
      <c r="B7" s="69">
        <v>920</v>
      </c>
      <c r="C7" s="69">
        <v>258</v>
      </c>
      <c r="D7" s="70">
        <f>B7*C7</f>
        <v>237360</v>
      </c>
      <c r="E7" s="70">
        <f>B7^2</f>
        <v>846400</v>
      </c>
      <c r="F7" s="70">
        <f t="shared" ref="F7:F17" si="0">B7</f>
        <v>920</v>
      </c>
      <c r="G7" s="70">
        <f t="shared" ref="G7:G17" si="1">C7</f>
        <v>258</v>
      </c>
      <c r="H7" s="50">
        <f t="shared" ref="H7:H17" si="2">$B$30+$B$31*F7</f>
        <v>252.75888862699014</v>
      </c>
    </row>
    <row r="8" spans="1:8" x14ac:dyDescent="0.25">
      <c r="A8" s="11" t="s">
        <v>140</v>
      </c>
      <c r="B8" s="69">
        <v>710</v>
      </c>
      <c r="C8" s="69">
        <v>198</v>
      </c>
      <c r="D8" s="70">
        <f>B8*C8</f>
        <v>140580</v>
      </c>
      <c r="E8" s="70">
        <f>B8^2</f>
        <v>504100</v>
      </c>
      <c r="F8" s="70">
        <f t="shared" si="0"/>
        <v>710</v>
      </c>
      <c r="G8" s="70">
        <f t="shared" si="1"/>
        <v>198</v>
      </c>
      <c r="H8" s="50">
        <f t="shared" si="2"/>
        <v>203.62351787810451</v>
      </c>
    </row>
    <row r="9" spans="1:8" x14ac:dyDescent="0.25">
      <c r="A9" s="11" t="s">
        <v>141</v>
      </c>
      <c r="B9" s="69">
        <v>390</v>
      </c>
      <c r="C9" s="69">
        <v>128</v>
      </c>
      <c r="D9" s="70">
        <f>B9*C9</f>
        <v>49920</v>
      </c>
      <c r="E9" s="70">
        <f>B9^2</f>
        <v>152100</v>
      </c>
      <c r="F9" s="70">
        <f t="shared" si="0"/>
        <v>390</v>
      </c>
      <c r="G9" s="70">
        <f t="shared" si="1"/>
        <v>128</v>
      </c>
      <c r="H9" s="50">
        <f t="shared" si="2"/>
        <v>128.75057197504066</v>
      </c>
    </row>
    <row r="10" spans="1:8" x14ac:dyDescent="0.25">
      <c r="A10" s="11" t="s">
        <v>142</v>
      </c>
      <c r="B10" s="69">
        <v>140</v>
      </c>
      <c r="C10" s="69">
        <v>72</v>
      </c>
      <c r="D10" s="70">
        <f>B10*C10</f>
        <v>10080</v>
      </c>
      <c r="E10" s="70">
        <f>B10^2</f>
        <v>19600</v>
      </c>
      <c r="F10" s="70">
        <f t="shared" si="0"/>
        <v>140</v>
      </c>
      <c r="G10" s="70">
        <f t="shared" si="1"/>
        <v>72</v>
      </c>
      <c r="H10" s="50">
        <f t="shared" si="2"/>
        <v>70.256082988272041</v>
      </c>
    </row>
    <row r="11" spans="1:8" x14ac:dyDescent="0.25">
      <c r="A11" s="11" t="s">
        <v>143</v>
      </c>
      <c r="B11" s="69">
        <v>20</v>
      </c>
      <c r="C11" s="69">
        <v>45</v>
      </c>
      <c r="D11" s="70">
        <f>B11*C11</f>
        <v>900</v>
      </c>
      <c r="E11" s="70">
        <f>B11^2</f>
        <v>400</v>
      </c>
      <c r="F11" s="70">
        <f t="shared" si="0"/>
        <v>20</v>
      </c>
      <c r="G11" s="70">
        <f t="shared" si="1"/>
        <v>45</v>
      </c>
      <c r="H11" s="50">
        <f t="shared" si="2"/>
        <v>42.178728274623104</v>
      </c>
    </row>
    <row r="12" spans="1:8" x14ac:dyDescent="0.25">
      <c r="A12" s="11" t="s">
        <v>144</v>
      </c>
      <c r="B12" s="69">
        <v>0</v>
      </c>
      <c r="C12" s="69">
        <v>38</v>
      </c>
      <c r="D12" s="70">
        <f>B12*C12</f>
        <v>0</v>
      </c>
      <c r="E12" s="70">
        <f>B12^2</f>
        <v>0</v>
      </c>
      <c r="F12" s="70">
        <f t="shared" si="0"/>
        <v>0</v>
      </c>
      <c r="G12" s="70">
        <f t="shared" si="1"/>
        <v>38</v>
      </c>
      <c r="H12" s="50">
        <f t="shared" si="2"/>
        <v>37.499169155681614</v>
      </c>
    </row>
    <row r="13" spans="1:8" x14ac:dyDescent="0.25">
      <c r="A13" s="11" t="s">
        <v>145</v>
      </c>
      <c r="B13" s="69">
        <v>5</v>
      </c>
      <c r="C13" s="69">
        <v>40</v>
      </c>
      <c r="D13" s="70">
        <f>B13*C13</f>
        <v>200</v>
      </c>
      <c r="E13" s="70">
        <f>B13^2</f>
        <v>25</v>
      </c>
      <c r="F13" s="70">
        <f t="shared" si="0"/>
        <v>5</v>
      </c>
      <c r="G13" s="70">
        <f t="shared" si="1"/>
        <v>40</v>
      </c>
      <c r="H13" s="50">
        <f t="shared" si="2"/>
        <v>38.669058935416984</v>
      </c>
    </row>
    <row r="14" spans="1:8" x14ac:dyDescent="0.25">
      <c r="A14" s="11" t="s">
        <v>146</v>
      </c>
      <c r="B14" s="69">
        <v>120</v>
      </c>
      <c r="C14" s="69">
        <v>65</v>
      </c>
      <c r="D14" s="70">
        <f>B14*C14</f>
        <v>7800</v>
      </c>
      <c r="E14" s="70">
        <f>B14^2</f>
        <v>14400</v>
      </c>
      <c r="F14" s="70">
        <f t="shared" si="0"/>
        <v>120</v>
      </c>
      <c r="G14" s="70">
        <f t="shared" si="1"/>
        <v>65</v>
      </c>
      <c r="H14" s="50">
        <f t="shared" si="2"/>
        <v>65.576523869330543</v>
      </c>
    </row>
    <row r="15" spans="1:8" x14ac:dyDescent="0.25">
      <c r="A15" s="11" t="s">
        <v>147</v>
      </c>
      <c r="B15" s="69">
        <v>430</v>
      </c>
      <c r="C15" s="69">
        <v>135</v>
      </c>
      <c r="D15" s="70">
        <f>B15*C15</f>
        <v>58050</v>
      </c>
      <c r="E15" s="70">
        <f>B15^2</f>
        <v>184900</v>
      </c>
      <c r="F15" s="70">
        <f t="shared" si="0"/>
        <v>430</v>
      </c>
      <c r="G15" s="70">
        <f t="shared" si="1"/>
        <v>135</v>
      </c>
      <c r="H15" s="50">
        <f t="shared" si="2"/>
        <v>138.10969021292362</v>
      </c>
    </row>
    <row r="16" spans="1:8" x14ac:dyDescent="0.25">
      <c r="A16" s="11" t="s">
        <v>148</v>
      </c>
      <c r="B16" s="69">
        <v>680</v>
      </c>
      <c r="C16" s="69">
        <v>190</v>
      </c>
      <c r="D16" s="70">
        <f>B16*C16</f>
        <v>129200</v>
      </c>
      <c r="E16" s="70">
        <f>B16^2</f>
        <v>462400</v>
      </c>
      <c r="F16" s="70">
        <f t="shared" si="0"/>
        <v>680</v>
      </c>
      <c r="G16" s="70">
        <f t="shared" si="1"/>
        <v>190</v>
      </c>
      <c r="H16" s="50">
        <f t="shared" si="2"/>
        <v>196.60417919969225</v>
      </c>
    </row>
    <row r="17" spans="1:8" ht="15.75" thickBot="1" x14ac:dyDescent="0.3">
      <c r="A17" s="11" t="s">
        <v>149</v>
      </c>
      <c r="B17" s="69">
        <v>980</v>
      </c>
      <c r="C17" s="69">
        <v>270</v>
      </c>
      <c r="D17" s="70">
        <f>B17*C17</f>
        <v>264600</v>
      </c>
      <c r="E17" s="70">
        <f>B17^2</f>
        <v>960400</v>
      </c>
      <c r="F17" s="70">
        <f t="shared" si="0"/>
        <v>980</v>
      </c>
      <c r="G17" s="70">
        <f t="shared" si="1"/>
        <v>270</v>
      </c>
      <c r="H17" s="50">
        <f t="shared" si="2"/>
        <v>266.79756598381459</v>
      </c>
    </row>
    <row r="18" spans="1:8" x14ac:dyDescent="0.25">
      <c r="A18" s="72" t="s">
        <v>12</v>
      </c>
      <c r="B18" s="73">
        <f>SUM(B6:B17)</f>
        <v>5445</v>
      </c>
      <c r="C18" s="73">
        <f>SUM(C6:C17)</f>
        <v>1724</v>
      </c>
      <c r="D18" s="73">
        <f>SUM(D6:D17)</f>
        <v>1197940</v>
      </c>
      <c r="E18" s="73">
        <f>SUM(E6:E17)</f>
        <v>4247225</v>
      </c>
    </row>
    <row r="19" spans="1:8" x14ac:dyDescent="0.25">
      <c r="A19" s="71" t="s">
        <v>13</v>
      </c>
      <c r="B19" s="19">
        <f>COUNT(B6:B17)</f>
        <v>12</v>
      </c>
      <c r="C19" s="20" t="s">
        <v>3</v>
      </c>
      <c r="D19" s="74">
        <f>B18/B19</f>
        <v>453.75</v>
      </c>
      <c r="E19" s="21"/>
    </row>
    <row r="21" spans="1:8" x14ac:dyDescent="0.25">
      <c r="A21" s="6" t="s">
        <v>150</v>
      </c>
      <c r="B21" s="7"/>
      <c r="C21" s="7"/>
      <c r="D21" s="7"/>
      <c r="E21" s="7"/>
      <c r="F21" s="7"/>
      <c r="G21" s="7"/>
      <c r="H21" s="7"/>
    </row>
    <row r="22" spans="1:8" x14ac:dyDescent="0.25">
      <c r="A22" s="23" t="s">
        <v>15</v>
      </c>
      <c r="B22" s="75">
        <f>B19</f>
        <v>12</v>
      </c>
      <c r="C22" s="76">
        <f>B18</f>
        <v>5445</v>
      </c>
      <c r="E22" s="23" t="s">
        <v>16</v>
      </c>
      <c r="F22" s="77" cm="1">
        <f t="array" ref="F22:G23">MINVERSE(B22:C23)</f>
        <v>0.19922556162613303</v>
      </c>
      <c r="G22" s="78">
        <v>-2.554098695158119E-4</v>
      </c>
    </row>
    <row r="23" spans="1:8" x14ac:dyDescent="0.25">
      <c r="B23" s="79">
        <f>B18</f>
        <v>5445</v>
      </c>
      <c r="C23" s="80">
        <f>E18</f>
        <v>4247225</v>
      </c>
      <c r="F23" s="81">
        <v>-2.5540986951581195E-4</v>
      </c>
      <c r="G23" s="82">
        <v>5.6288676477313916E-7</v>
      </c>
    </row>
    <row r="25" spans="1:8" x14ac:dyDescent="0.25">
      <c r="A25" s="23" t="s">
        <v>17</v>
      </c>
      <c r="B25" s="84">
        <f>C18</f>
        <v>1724</v>
      </c>
      <c r="C25" s="35" t="s">
        <v>18</v>
      </c>
    </row>
    <row r="26" spans="1:8" x14ac:dyDescent="0.25">
      <c r="B26" s="83">
        <f>D18</f>
        <v>1197940</v>
      </c>
      <c r="C26" s="35" t="s">
        <v>20</v>
      </c>
    </row>
    <row r="28" spans="1:8" x14ac:dyDescent="0.25">
      <c r="A28" s="6" t="s">
        <v>151</v>
      </c>
      <c r="B28" s="7"/>
      <c r="C28" s="7"/>
      <c r="D28" s="7"/>
      <c r="E28" s="7"/>
      <c r="F28" s="7"/>
      <c r="G28" s="7"/>
      <c r="H28" s="7"/>
    </row>
    <row r="29" spans="1:8" ht="15.75" thickBot="1" x14ac:dyDescent="0.3">
      <c r="B29" s="9" t="s">
        <v>24</v>
      </c>
      <c r="C29" s="49" t="s">
        <v>152</v>
      </c>
    </row>
    <row r="30" spans="1:8" ht="15.75" x14ac:dyDescent="0.25">
      <c r="A30" s="22" t="s">
        <v>26</v>
      </c>
      <c r="B30" s="85">
        <f>(F22*B25)+(G22*B26)</f>
        <v>37.499169155681614</v>
      </c>
      <c r="C30" s="10" t="s">
        <v>153</v>
      </c>
    </row>
    <row r="31" spans="1:8" ht="15.75" x14ac:dyDescent="0.25">
      <c r="A31" s="22" t="s">
        <v>28</v>
      </c>
      <c r="B31" s="41">
        <f>(F23*B25)+(G23*B26)</f>
        <v>0.23397795594707449</v>
      </c>
      <c r="C31" s="10" t="s">
        <v>154</v>
      </c>
    </row>
    <row r="33" spans="1:8" ht="15.75" x14ac:dyDescent="0.25">
      <c r="A33" s="22" t="s">
        <v>155</v>
      </c>
      <c r="B33" s="40" t="str">
        <f>"therms = "&amp;TEXT(B30,"0.00")&amp;" + "&amp;TEXT(B31,"0.0000")&amp;" · HDD"</f>
        <v>therms = 37.50 + 0.2340 · HDD</v>
      </c>
    </row>
    <row r="35" spans="1:8" x14ac:dyDescent="0.25">
      <c r="A35" s="6" t="s">
        <v>156</v>
      </c>
      <c r="B35" s="7"/>
      <c r="C35" s="7"/>
      <c r="D35" s="7"/>
      <c r="E35" s="7"/>
      <c r="F35" s="7"/>
      <c r="G35" s="7"/>
      <c r="H35" s="7"/>
    </row>
    <row r="36" spans="1:8" ht="15.75" thickBot="1" x14ac:dyDescent="0.3">
      <c r="A36" s="9" t="s">
        <v>31</v>
      </c>
      <c r="B36" s="9" t="s">
        <v>32</v>
      </c>
      <c r="C36" s="9" t="s">
        <v>33</v>
      </c>
      <c r="D36" s="9" t="s">
        <v>34</v>
      </c>
    </row>
    <row r="37" spans="1:8" x14ac:dyDescent="0.25">
      <c r="A37" s="22" t="s">
        <v>35</v>
      </c>
      <c r="B37" s="43" cm="1">
        <f t="array" ref="B37:C41">LINEST(C6:C17,B6:B17,1,1)</f>
        <v>0.2339779559470746</v>
      </c>
      <c r="C37" s="86">
        <v>37.499169155681557</v>
      </c>
      <c r="D37" s="11" t="str">
        <f>IF(ROUND(B31,8)=ROUND(B37,8),"✅ Match","❌ Mismatch")</f>
        <v>✅ Match</v>
      </c>
    </row>
    <row r="38" spans="1:8" x14ac:dyDescent="0.25">
      <c r="A38" s="10" t="s">
        <v>36</v>
      </c>
      <c r="B38" s="46">
        <v>2.8060025667523861E-3</v>
      </c>
      <c r="C38" s="87">
        <v>1.6693602776654284</v>
      </c>
    </row>
    <row r="39" spans="1:8" x14ac:dyDescent="0.25">
      <c r="A39" s="10" t="s">
        <v>37</v>
      </c>
      <c r="B39" s="14">
        <v>0.99856384247183616</v>
      </c>
      <c r="C39" s="50">
        <v>3.7400511810193762</v>
      </c>
    </row>
    <row r="40" spans="1:8" x14ac:dyDescent="0.25">
      <c r="A40" s="10" t="s">
        <v>38</v>
      </c>
      <c r="B40" s="50">
        <v>6953.0244620768754</v>
      </c>
      <c r="C40" s="48">
        <v>10</v>
      </c>
      <c r="D40" s="35" t="s">
        <v>39</v>
      </c>
    </row>
    <row r="41" spans="1:8" x14ac:dyDescent="0.25">
      <c r="A41" s="10" t="s">
        <v>40</v>
      </c>
      <c r="B41" s="88">
        <v>97258.786838300206</v>
      </c>
      <c r="C41" s="88">
        <v>139.87982836644431</v>
      </c>
      <c r="D41" s="35" t="s">
        <v>41</v>
      </c>
    </row>
    <row r="43" spans="1:8" ht="15.75" thickBot="1" x14ac:dyDescent="0.3">
      <c r="A43" s="49" t="s">
        <v>157</v>
      </c>
      <c r="B43" s="9" t="s">
        <v>158</v>
      </c>
      <c r="C43" s="9" t="s">
        <v>159</v>
      </c>
      <c r="D43" s="9" t="s">
        <v>160</v>
      </c>
    </row>
    <row r="44" spans="1:8" x14ac:dyDescent="0.25">
      <c r="A44" s="22" t="s">
        <v>37</v>
      </c>
      <c r="B44" s="14">
        <f>B39</f>
        <v>0.99856384247183616</v>
      </c>
      <c r="C44" s="89" t="s">
        <v>161</v>
      </c>
      <c r="D44" s="11" t="str">
        <f>IF(B44&gt;=0.75,"✅ Pass","❌ Fail")</f>
        <v>✅ Pass</v>
      </c>
    </row>
    <row r="45" spans="1:8" x14ac:dyDescent="0.25">
      <c r="A45" s="22" t="s">
        <v>113</v>
      </c>
      <c r="B45" s="90">
        <f>C39/AVERAGE(C6:C17)</f>
        <v>2.603283884700262E-2</v>
      </c>
      <c r="C45" s="89" t="s">
        <v>162</v>
      </c>
      <c r="D45" s="11" t="str">
        <f>IF(B45&lt;=0.2,"✅ Pass","❌ Fail")</f>
        <v>✅ Pass</v>
      </c>
    </row>
    <row r="46" spans="1:8" x14ac:dyDescent="0.25">
      <c r="A46" s="22" t="s">
        <v>163</v>
      </c>
      <c r="B46" s="50">
        <f>B37/B38</f>
        <v>83.384797547735758</v>
      </c>
      <c r="C46" s="89" t="s">
        <v>164</v>
      </c>
      <c r="D46" s="11" t="str">
        <f>IF(B46&gt;2,"✅ Pass","❌ Fail")</f>
        <v>✅ Pass</v>
      </c>
    </row>
    <row r="47" spans="1:8" x14ac:dyDescent="0.25">
      <c r="A47" s="22" t="s">
        <v>165</v>
      </c>
      <c r="B47" s="48">
        <f>B19</f>
        <v>12</v>
      </c>
      <c r="C47" s="89" t="s">
        <v>166</v>
      </c>
      <c r="D47" s="11" t="str">
        <f>IF(B47&gt;=12,"✅ Pass","❌ Fail")</f>
        <v>✅ Pass</v>
      </c>
    </row>
  </sheetData>
  <mergeCells count="2">
    <mergeCell ref="A1:H1"/>
    <mergeCell ref="A2:H2"/>
  </mergeCell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2A0E5-669A-4157-9220-76AA09CA0F72}">
  <dimension ref="A1:H69"/>
  <sheetViews>
    <sheetView tabSelected="1" workbookViewId="0">
      <pane xSplit="3285" ySplit="2190" topLeftCell="B28" activePane="bottomRight"/>
      <selection pane="topRight" activeCell="B1" sqref="B1"/>
      <selection pane="bottomLeft" activeCell="A7" sqref="A7"/>
      <selection pane="bottomRight" activeCell="B7" sqref="B7:C18"/>
    </sheetView>
  </sheetViews>
  <sheetFormatPr defaultRowHeight="15" x14ac:dyDescent="0.25"/>
  <cols>
    <col min="1" max="1" width="27.5703125" customWidth="1"/>
    <col min="2" max="8" width="15.28515625" customWidth="1"/>
  </cols>
  <sheetData>
    <row r="1" spans="1:8" ht="18.75" x14ac:dyDescent="0.3">
      <c r="A1" s="3" t="s">
        <v>170</v>
      </c>
      <c r="B1" s="3"/>
      <c r="C1" s="3"/>
      <c r="D1" s="3"/>
      <c r="E1" s="3"/>
      <c r="F1" s="3"/>
      <c r="G1" s="3"/>
      <c r="H1" s="3"/>
    </row>
    <row r="2" spans="1:8" x14ac:dyDescent="0.25">
      <c r="A2" s="4" t="s">
        <v>171</v>
      </c>
      <c r="B2" s="4"/>
      <c r="C2" s="4"/>
      <c r="D2" s="4"/>
      <c r="E2" s="4"/>
      <c r="F2" s="4"/>
      <c r="G2" s="4"/>
      <c r="H2" s="4"/>
    </row>
    <row r="3" spans="1:8" x14ac:dyDescent="0.25">
      <c r="A3" s="92" t="s">
        <v>172</v>
      </c>
      <c r="B3" s="92"/>
      <c r="C3" s="92"/>
      <c r="D3" s="92"/>
      <c r="E3" s="92"/>
      <c r="F3" s="92"/>
      <c r="G3" s="92"/>
      <c r="H3" s="92"/>
    </row>
    <row r="5" spans="1:8" x14ac:dyDescent="0.25">
      <c r="A5" s="6" t="s">
        <v>173</v>
      </c>
      <c r="B5" s="7"/>
      <c r="C5" s="7"/>
      <c r="D5" s="7"/>
      <c r="E5" s="7"/>
      <c r="F5" s="51" t="s">
        <v>49</v>
      </c>
      <c r="G5" s="7"/>
      <c r="H5" s="7"/>
    </row>
    <row r="6" spans="1:8" ht="15.75" thickBot="1" x14ac:dyDescent="0.3">
      <c r="A6" s="9" t="s">
        <v>135</v>
      </c>
      <c r="B6" s="9" t="s">
        <v>174</v>
      </c>
      <c r="C6" s="9" t="s">
        <v>175</v>
      </c>
      <c r="D6" s="9" t="s">
        <v>10</v>
      </c>
      <c r="E6" s="9" t="s">
        <v>11</v>
      </c>
      <c r="F6" s="9" t="s">
        <v>181</v>
      </c>
      <c r="G6" s="9" t="s">
        <v>168</v>
      </c>
      <c r="H6" s="9" t="s">
        <v>169</v>
      </c>
    </row>
    <row r="7" spans="1:8" x14ac:dyDescent="0.25">
      <c r="A7" s="11" t="s">
        <v>138</v>
      </c>
      <c r="B7" s="98">
        <v>224</v>
      </c>
      <c r="C7" s="98">
        <v>6816</v>
      </c>
      <c r="D7" s="70">
        <f>IF(OR(B7="",C7=""),"",B7*C7)</f>
        <v>1526784</v>
      </c>
      <c r="E7" s="70">
        <f>IF(B7="","",B7^2)</f>
        <v>50176</v>
      </c>
      <c r="F7" s="70">
        <f>IF(B7="","",B7)</f>
        <v>224</v>
      </c>
      <c r="G7" s="70">
        <f>IF(C7="","",C7)</f>
        <v>6816</v>
      </c>
      <c r="H7" s="50">
        <f>IF(OR($B$31="",B7=""),"",$B$31+$B$32*F7)</f>
        <v>6996.2115321324945</v>
      </c>
    </row>
    <row r="8" spans="1:8" x14ac:dyDescent="0.25">
      <c r="A8" s="11" t="s">
        <v>139</v>
      </c>
      <c r="B8" s="98">
        <v>120</v>
      </c>
      <c r="C8" s="98">
        <v>6193</v>
      </c>
      <c r="D8" s="70">
        <f t="shared" ref="D8:D18" si="0">IF(OR(B8="",C8=""),"",B8*C8)</f>
        <v>743160</v>
      </c>
      <c r="E8" s="70">
        <f t="shared" ref="E8:E18" si="1">IF(B8="","",B8^2)</f>
        <v>14400</v>
      </c>
      <c r="F8" s="70">
        <f t="shared" ref="F8:F18" si="2">IF(B8="","",B8)</f>
        <v>120</v>
      </c>
      <c r="G8" s="70">
        <f t="shared" ref="G8:G18" si="3">IF(C8="","",C8)</f>
        <v>6193</v>
      </c>
      <c r="H8" s="50">
        <f t="shared" ref="H8:H18" si="4">IF(OR($B$31="",B8=""),"",$B$31+$B$32*F8)</f>
        <v>6054.5816099603271</v>
      </c>
    </row>
    <row r="9" spans="1:8" x14ac:dyDescent="0.25">
      <c r="A9" s="11" t="s">
        <v>140</v>
      </c>
      <c r="B9" s="98">
        <v>39</v>
      </c>
      <c r="C9" s="98">
        <v>5196</v>
      </c>
      <c r="D9" s="70">
        <f t="shared" si="0"/>
        <v>202644</v>
      </c>
      <c r="E9" s="70">
        <f t="shared" si="1"/>
        <v>1521</v>
      </c>
      <c r="F9" s="70">
        <f t="shared" si="2"/>
        <v>39</v>
      </c>
      <c r="G9" s="70">
        <f t="shared" si="3"/>
        <v>5196</v>
      </c>
      <c r="H9" s="50">
        <f t="shared" si="4"/>
        <v>5321.1967667300805</v>
      </c>
    </row>
    <row r="10" spans="1:8" x14ac:dyDescent="0.25">
      <c r="A10" s="11" t="s">
        <v>141</v>
      </c>
      <c r="B10" s="98">
        <v>11</v>
      </c>
      <c r="C10" s="98">
        <v>4749</v>
      </c>
      <c r="D10" s="70">
        <f t="shared" si="0"/>
        <v>52239</v>
      </c>
      <c r="E10" s="70">
        <f t="shared" si="1"/>
        <v>121</v>
      </c>
      <c r="F10" s="70">
        <f t="shared" si="2"/>
        <v>11</v>
      </c>
      <c r="G10" s="70">
        <f t="shared" si="3"/>
        <v>4749</v>
      </c>
      <c r="H10" s="50">
        <f t="shared" si="4"/>
        <v>5067.6810184529586</v>
      </c>
    </row>
    <row r="11" spans="1:8" x14ac:dyDescent="0.25">
      <c r="A11" s="11" t="s">
        <v>142</v>
      </c>
      <c r="B11" s="98">
        <v>57</v>
      </c>
      <c r="C11" s="98">
        <v>5784</v>
      </c>
      <c r="D11" s="70">
        <f t="shared" si="0"/>
        <v>329688</v>
      </c>
      <c r="E11" s="70">
        <f t="shared" si="1"/>
        <v>3249</v>
      </c>
      <c r="F11" s="70">
        <f t="shared" si="2"/>
        <v>57</v>
      </c>
      <c r="G11" s="70">
        <f t="shared" si="3"/>
        <v>5784</v>
      </c>
      <c r="H11" s="50">
        <f t="shared" si="4"/>
        <v>5484.1711763368021</v>
      </c>
    </row>
    <row r="12" spans="1:8" x14ac:dyDescent="0.25">
      <c r="A12" s="11" t="s">
        <v>143</v>
      </c>
      <c r="B12" s="98">
        <v>162</v>
      </c>
      <c r="C12" s="98">
        <v>6472</v>
      </c>
      <c r="D12" s="70">
        <f t="shared" si="0"/>
        <v>1048464</v>
      </c>
      <c r="E12" s="70">
        <f t="shared" si="1"/>
        <v>26244</v>
      </c>
      <c r="F12" s="70">
        <f t="shared" si="2"/>
        <v>162</v>
      </c>
      <c r="G12" s="70">
        <f t="shared" si="3"/>
        <v>6472</v>
      </c>
      <c r="H12" s="50">
        <f t="shared" si="4"/>
        <v>6434.8552323760105</v>
      </c>
    </row>
    <row r="13" spans="1:8" x14ac:dyDescent="0.25">
      <c r="A13" s="11" t="s">
        <v>144</v>
      </c>
      <c r="B13" s="98">
        <v>274</v>
      </c>
      <c r="C13" s="98">
        <v>7535</v>
      </c>
      <c r="D13" s="70">
        <f t="shared" si="0"/>
        <v>2064590</v>
      </c>
      <c r="E13" s="70">
        <f t="shared" si="1"/>
        <v>75076</v>
      </c>
      <c r="F13" s="70">
        <f t="shared" si="2"/>
        <v>274</v>
      </c>
      <c r="G13" s="70">
        <f t="shared" si="3"/>
        <v>7535</v>
      </c>
      <c r="H13" s="50">
        <f t="shared" si="4"/>
        <v>7448.9182254844991</v>
      </c>
    </row>
    <row r="14" spans="1:8" x14ac:dyDescent="0.25">
      <c r="A14" s="11" t="s">
        <v>145</v>
      </c>
      <c r="B14" s="98">
        <v>398</v>
      </c>
      <c r="C14" s="98">
        <v>9335</v>
      </c>
      <c r="D14" s="70">
        <f t="shared" si="0"/>
        <v>3715330</v>
      </c>
      <c r="E14" s="70">
        <f t="shared" si="1"/>
        <v>158404</v>
      </c>
      <c r="F14" s="70">
        <f t="shared" si="2"/>
        <v>398</v>
      </c>
      <c r="G14" s="70">
        <f t="shared" si="3"/>
        <v>9335</v>
      </c>
      <c r="H14" s="50">
        <f t="shared" si="4"/>
        <v>8571.6308249974682</v>
      </c>
    </row>
    <row r="15" spans="1:8" x14ac:dyDescent="0.25">
      <c r="A15" s="11" t="s">
        <v>146</v>
      </c>
      <c r="B15" s="98">
        <v>437</v>
      </c>
      <c r="C15" s="98">
        <v>8612</v>
      </c>
      <c r="D15" s="70">
        <f t="shared" si="0"/>
        <v>3763444</v>
      </c>
      <c r="E15" s="70">
        <f t="shared" si="1"/>
        <v>190969</v>
      </c>
      <c r="F15" s="70">
        <f t="shared" si="2"/>
        <v>437</v>
      </c>
      <c r="G15" s="70">
        <f t="shared" si="3"/>
        <v>8612</v>
      </c>
      <c r="H15" s="50">
        <f t="shared" si="4"/>
        <v>8924.7420458120323</v>
      </c>
    </row>
    <row r="16" spans="1:8" x14ac:dyDescent="0.25">
      <c r="A16" s="11" t="s">
        <v>147</v>
      </c>
      <c r="B16" s="98">
        <v>424</v>
      </c>
      <c r="C16" s="98">
        <v>8456</v>
      </c>
      <c r="D16" s="70">
        <f t="shared" si="0"/>
        <v>3585344</v>
      </c>
      <c r="E16" s="70">
        <f t="shared" si="1"/>
        <v>179776</v>
      </c>
      <c r="F16" s="70">
        <f t="shared" si="2"/>
        <v>424</v>
      </c>
      <c r="G16" s="70">
        <f t="shared" si="3"/>
        <v>8456</v>
      </c>
      <c r="H16" s="50">
        <f t="shared" si="4"/>
        <v>8807.0383055405109</v>
      </c>
    </row>
    <row r="17" spans="1:8" x14ac:dyDescent="0.25">
      <c r="A17" s="11" t="s">
        <v>148</v>
      </c>
      <c r="B17" s="98">
        <v>334</v>
      </c>
      <c r="C17" s="98">
        <v>7748</v>
      </c>
      <c r="D17" s="70">
        <f t="shared" si="0"/>
        <v>2587832</v>
      </c>
      <c r="E17" s="70">
        <f t="shared" si="1"/>
        <v>111556</v>
      </c>
      <c r="F17" s="70">
        <f t="shared" si="2"/>
        <v>334</v>
      </c>
      <c r="G17" s="70">
        <f t="shared" si="3"/>
        <v>7748</v>
      </c>
      <c r="H17" s="50">
        <f t="shared" si="4"/>
        <v>7992.166257506904</v>
      </c>
    </row>
    <row r="18" spans="1:8" ht="15.75" thickBot="1" x14ac:dyDescent="0.3">
      <c r="A18" s="11" t="s">
        <v>149</v>
      </c>
      <c r="B18" s="98">
        <v>235</v>
      </c>
      <c r="C18" s="98">
        <v>7303</v>
      </c>
      <c r="D18" s="70">
        <f t="shared" si="0"/>
        <v>1716205</v>
      </c>
      <c r="E18" s="70">
        <f t="shared" si="1"/>
        <v>55225</v>
      </c>
      <c r="F18" s="70">
        <f t="shared" si="2"/>
        <v>235</v>
      </c>
      <c r="G18" s="70">
        <f t="shared" si="3"/>
        <v>7303</v>
      </c>
      <c r="H18" s="50">
        <f t="shared" si="4"/>
        <v>7095.8070046699358</v>
      </c>
    </row>
    <row r="19" spans="1:8" x14ac:dyDescent="0.25">
      <c r="A19" s="72" t="s">
        <v>12</v>
      </c>
      <c r="B19" s="73">
        <f>IF(COUNT(B7:B18)=0,"",SUM(B7:B18))</f>
        <v>2715</v>
      </c>
      <c r="C19" s="73">
        <f>IF(COUNT(C7:C18)=0,"",SUM(C7:C18))</f>
        <v>84199</v>
      </c>
      <c r="D19" s="73">
        <f>IF(COUNT(D7:D18)=0,"",SUM(D7:D18))</f>
        <v>21335724</v>
      </c>
      <c r="E19" s="73">
        <f>IF(COUNT(E7:E18)=0,"",SUM(E7:E18))</f>
        <v>866717</v>
      </c>
    </row>
    <row r="20" spans="1:8" x14ac:dyDescent="0.25">
      <c r="A20" s="71" t="s">
        <v>13</v>
      </c>
      <c r="B20" s="19">
        <f>IF(COUNT(B7:B18)=0,"",COUNT(B7:B18))</f>
        <v>12</v>
      </c>
      <c r="C20" s="20" t="s">
        <v>3</v>
      </c>
      <c r="D20" s="74">
        <f>IF(COUNT(B7:B18)=0,"",B19/B20)</f>
        <v>226.25</v>
      </c>
      <c r="E20" s="21"/>
    </row>
    <row r="22" spans="1:8" x14ac:dyDescent="0.25">
      <c r="A22" s="6" t="s">
        <v>176</v>
      </c>
      <c r="B22" s="7"/>
      <c r="C22" s="7"/>
      <c r="D22" s="7"/>
      <c r="E22" s="7"/>
      <c r="F22" s="7"/>
      <c r="G22" s="7"/>
      <c r="H22" s="7"/>
    </row>
    <row r="23" spans="1:8" x14ac:dyDescent="0.25">
      <c r="A23" s="23" t="s">
        <v>15</v>
      </c>
      <c r="B23" s="75">
        <f>IF(B20="","",B20)</f>
        <v>12</v>
      </c>
      <c r="C23" s="76">
        <f>IF(B19="","",B19)</f>
        <v>2715</v>
      </c>
      <c r="E23" s="23" t="s">
        <v>16</v>
      </c>
      <c r="F23" s="77" cm="1">
        <f t="array" ref="F23:G24">IFERROR(MINVERSE(B23:C24),"")</f>
        <v>0.28610385164748275</v>
      </c>
      <c r="G23" s="78">
        <v>-8.9622328536640642E-4</v>
      </c>
    </row>
    <row r="24" spans="1:8" x14ac:dyDescent="0.25">
      <c r="B24" s="79">
        <f>IF(B19="","",B19)</f>
        <v>2715</v>
      </c>
      <c r="C24" s="80">
        <f>IF(E19="","",E19)</f>
        <v>866717</v>
      </c>
      <c r="F24" s="81">
        <v>-8.9622328536640653E-4</v>
      </c>
      <c r="G24" s="82">
        <v>3.9612078911222389E-6</v>
      </c>
    </row>
    <row r="26" spans="1:8" x14ac:dyDescent="0.25">
      <c r="A26" s="23" t="s">
        <v>17</v>
      </c>
      <c r="B26" s="84">
        <f>IF(C19="","",C19)</f>
        <v>84199</v>
      </c>
      <c r="C26" s="35" t="s">
        <v>18</v>
      </c>
    </row>
    <row r="27" spans="1:8" x14ac:dyDescent="0.25">
      <c r="B27" s="83">
        <f>IF(D19="","",D19)</f>
        <v>21335724</v>
      </c>
      <c r="C27" s="35" t="s">
        <v>20</v>
      </c>
    </row>
    <row r="29" spans="1:8" x14ac:dyDescent="0.25">
      <c r="A29" s="6" t="s">
        <v>151</v>
      </c>
      <c r="B29" s="7"/>
      <c r="C29" s="7"/>
      <c r="D29" s="7"/>
      <c r="E29" s="7"/>
      <c r="F29" s="7"/>
      <c r="G29" s="7"/>
      <c r="H29" s="7"/>
    </row>
    <row r="30" spans="1:8" ht="15.75" thickBot="1" x14ac:dyDescent="0.3">
      <c r="B30" s="9" t="s">
        <v>24</v>
      </c>
      <c r="C30" s="49" t="s">
        <v>152</v>
      </c>
    </row>
    <row r="31" spans="1:8" ht="15.75" x14ac:dyDescent="0.25">
      <c r="A31" s="22" t="s">
        <v>26</v>
      </c>
      <c r="B31" s="85">
        <f>IFERROR((F23*B26)+(G23*B27),"")</f>
        <v>4968.0855459155173</v>
      </c>
      <c r="C31" s="10" t="s">
        <v>177</v>
      </c>
    </row>
    <row r="32" spans="1:8" ht="15.75" x14ac:dyDescent="0.25">
      <c r="A32" s="22" t="s">
        <v>28</v>
      </c>
      <c r="B32" s="41">
        <f>IFERROR((F24*B26)+(G24*B27),"")</f>
        <v>9.0541338670400791</v>
      </c>
      <c r="C32" s="10" t="s">
        <v>178</v>
      </c>
    </row>
    <row r="34" spans="1:8" ht="15.75" x14ac:dyDescent="0.25">
      <c r="A34" s="22" t="s">
        <v>155</v>
      </c>
      <c r="B34" s="40" t="str">
        <f>IF(B31="","(enter data above)","kWh = "&amp;TEXT(B31,"0.00")&amp;" + "&amp;TEXT(B32,"0.0000")&amp;" · CDD")</f>
        <v>kWh = 4968.09 + 9.0541 · CDD</v>
      </c>
    </row>
    <row r="36" spans="1:8" x14ac:dyDescent="0.25">
      <c r="A36" s="6" t="s">
        <v>179</v>
      </c>
      <c r="B36" s="7"/>
      <c r="C36" s="7"/>
      <c r="D36" s="7"/>
      <c r="E36" s="7"/>
      <c r="F36" s="7"/>
      <c r="G36" s="7"/>
      <c r="H36" s="7"/>
    </row>
    <row r="37" spans="1:8" ht="15.75" thickBot="1" x14ac:dyDescent="0.3">
      <c r="A37" s="9" t="s">
        <v>31</v>
      </c>
      <c r="B37" s="9" t="s">
        <v>32</v>
      </c>
      <c r="C37" s="9" t="s">
        <v>33</v>
      </c>
      <c r="D37" s="9" t="s">
        <v>34</v>
      </c>
    </row>
    <row r="38" spans="1:8" x14ac:dyDescent="0.25">
      <c r="A38" s="22" t="s">
        <v>35</v>
      </c>
      <c r="B38" s="43" cm="1">
        <f t="array" ref="B38:C42">IFERROR(LINEST(C7:C18,B7:B18,1,1),"")</f>
        <v>9.0541338670400773</v>
      </c>
      <c r="C38" s="86">
        <v>4968.0855459155155</v>
      </c>
      <c r="D38" s="11" t="str">
        <f>IF(B32="","",IF(ROUND(B32,8)=ROUND(B38,8),"✅ Match","❌ Mismatch"))</f>
        <v>✅ Match</v>
      </c>
    </row>
    <row r="39" spans="1:8" x14ac:dyDescent="0.25">
      <c r="A39" s="10" t="s">
        <v>36</v>
      </c>
      <c r="B39" s="46">
        <v>0.68190458598104908</v>
      </c>
      <c r="C39" s="87">
        <v>183.26167246944138</v>
      </c>
    </row>
    <row r="40" spans="1:8" x14ac:dyDescent="0.25">
      <c r="A40" s="10" t="s">
        <v>37</v>
      </c>
      <c r="B40" s="14">
        <v>0.9463224666386898</v>
      </c>
      <c r="C40" s="50">
        <v>342.61769849785878</v>
      </c>
    </row>
    <row r="41" spans="1:8" x14ac:dyDescent="0.25">
      <c r="A41" s="10" t="s">
        <v>38</v>
      </c>
      <c r="B41" s="50">
        <v>176.29768124195914</v>
      </c>
      <c r="C41" s="48">
        <v>10</v>
      </c>
      <c r="D41" s="35" t="s">
        <v>180</v>
      </c>
    </row>
    <row r="42" spans="1:8" x14ac:dyDescent="0.25">
      <c r="A42" s="10" t="s">
        <v>40</v>
      </c>
      <c r="B42" s="88">
        <v>20695036.043426976</v>
      </c>
      <c r="C42" s="88">
        <v>1173868.8732396965</v>
      </c>
      <c r="D42" s="35" t="s">
        <v>41</v>
      </c>
    </row>
    <row r="44" spans="1:8" ht="15.75" thickBot="1" x14ac:dyDescent="0.3">
      <c r="A44" s="49" t="s">
        <v>157</v>
      </c>
      <c r="B44" s="9" t="s">
        <v>158</v>
      </c>
      <c r="C44" s="9" t="s">
        <v>159</v>
      </c>
      <c r="D44" s="9" t="s">
        <v>160</v>
      </c>
    </row>
    <row r="45" spans="1:8" x14ac:dyDescent="0.25">
      <c r="A45" s="22" t="s">
        <v>37</v>
      </c>
      <c r="B45" s="14">
        <f>IF(B40="","",B40)</f>
        <v>0.9463224666386898</v>
      </c>
      <c r="C45" s="89" t="s">
        <v>161</v>
      </c>
      <c r="D45" s="11" t="str">
        <f>IF(B45="","",IF(B45&gt;=0.75,"✅ Pass","❌ Fail"))</f>
        <v>✅ Pass</v>
      </c>
    </row>
    <row r="46" spans="1:8" x14ac:dyDescent="0.25">
      <c r="A46" s="22" t="s">
        <v>113</v>
      </c>
      <c r="B46" s="90">
        <f>IF(C40="","",C40/AVERAGE(C7:C18))</f>
        <v>4.8829705601899136E-2</v>
      </c>
      <c r="C46" s="89" t="s">
        <v>162</v>
      </c>
      <c r="D46" s="11" t="str">
        <f>IF(B46="","",IF(B46&lt;=0.2,"✅ Pass","❌ Fail"))</f>
        <v>✅ Pass</v>
      </c>
    </row>
    <row r="47" spans="1:8" x14ac:dyDescent="0.25">
      <c r="A47" s="22" t="s">
        <v>163</v>
      </c>
      <c r="B47" s="50">
        <f>IF(OR(B38="",B39=""),"",B38/B39)</f>
        <v>13.277713705377106</v>
      </c>
      <c r="C47" s="89" t="s">
        <v>164</v>
      </c>
      <c r="D47" s="11" t="str">
        <f>IF(B47="","",IF(B47&gt;2,"✅ Pass","❌ Fail"))</f>
        <v>✅ Pass</v>
      </c>
    </row>
    <row r="48" spans="1:8" x14ac:dyDescent="0.25">
      <c r="A48" s="22" t="s">
        <v>165</v>
      </c>
      <c r="B48" s="48">
        <f>IF(B20="","",B20)</f>
        <v>12</v>
      </c>
      <c r="C48" s="89" t="s">
        <v>166</v>
      </c>
      <c r="D48" s="11" t="str">
        <f>IF(B48="","",IF(B48&gt;=12,"✅ Pass","❌ Fail"))</f>
        <v>✅ Pass</v>
      </c>
    </row>
    <row r="51" spans="1:8" x14ac:dyDescent="0.25">
      <c r="A51" s="91" t="s">
        <v>182</v>
      </c>
      <c r="B51" s="94"/>
      <c r="C51" s="94"/>
      <c r="D51" s="94"/>
      <c r="E51" s="94"/>
      <c r="F51" s="94"/>
      <c r="G51" s="94"/>
      <c r="H51" s="94"/>
    </row>
    <row r="52" spans="1:8" x14ac:dyDescent="0.25">
      <c r="A52" s="8" t="s">
        <v>183</v>
      </c>
      <c r="B52" s="95" t="s">
        <v>184</v>
      </c>
      <c r="C52" s="95" t="s">
        <v>2</v>
      </c>
      <c r="D52" s="95" t="s">
        <v>185</v>
      </c>
    </row>
    <row r="53" spans="1:8" x14ac:dyDescent="0.25">
      <c r="B53" s="93">
        <v>5000</v>
      </c>
      <c r="C53" s="96">
        <v>10</v>
      </c>
      <c r="D53" s="97">
        <v>0.1</v>
      </c>
    </row>
    <row r="55" spans="1:8" ht="15.75" thickBot="1" x14ac:dyDescent="0.3">
      <c r="A55" s="9" t="s">
        <v>135</v>
      </c>
      <c r="B55" s="9" t="s">
        <v>186</v>
      </c>
      <c r="C55" s="9" t="s">
        <v>187</v>
      </c>
    </row>
    <row r="56" spans="1:8" x14ac:dyDescent="0.25">
      <c r="A56" s="11" t="s">
        <v>138</v>
      </c>
      <c r="B56" s="98">
        <f ca="1">ROUND(MAX(0, 450*SIN(PI()*(1-1)/11 - PI()/4)^2 + RANDBETWEEN(-20,20)), 0)</f>
        <v>206</v>
      </c>
      <c r="C56" s="98">
        <f ca="1">ROUND($B$53 + $C$53*B56 + ($B$53+$C$53*B56)*$D$53*(RAND()-0.5)*2, 0)</f>
        <v>7455</v>
      </c>
    </row>
    <row r="57" spans="1:8" x14ac:dyDescent="0.25">
      <c r="A57" s="11" t="s">
        <v>139</v>
      </c>
      <c r="B57" s="98">
        <f ca="1">ROUND(MAX(0, 450*SIN(PI()*(2-1)/11 - PI()/4)^2 + RANDBETWEEN(-20,20)), 0)</f>
        <v>117</v>
      </c>
      <c r="C57" s="98">
        <f ca="1">ROUND($B$53 + $C$53*B57 + ($B$53+$C$53*B57)*$D$53*(RAND()-0.5)*2, 0)</f>
        <v>6740</v>
      </c>
    </row>
    <row r="58" spans="1:8" x14ac:dyDescent="0.25">
      <c r="A58" s="11" t="s">
        <v>140</v>
      </c>
      <c r="B58" s="98">
        <f ca="1">ROUND(MAX(0, 450*SIN(PI()*(3-1)/11 - PI()/4)^2 + RANDBETWEEN(-20,20)), 0)</f>
        <v>3</v>
      </c>
      <c r="C58" s="98">
        <f ca="1">ROUND($B$53 + $C$53*B58 + ($B$53+$C$53*B58)*$D$53*(RAND()-0.5)*2, 0)</f>
        <v>4789</v>
      </c>
    </row>
    <row r="59" spans="1:8" x14ac:dyDescent="0.25">
      <c r="A59" s="11" t="s">
        <v>141</v>
      </c>
      <c r="B59" s="98">
        <f ca="1">ROUND(MAX(0, 450*SIN(PI()*(4-1)/11 - PI()/4)^2 + RANDBETWEEN(-20,20)), 0)</f>
        <v>11</v>
      </c>
      <c r="C59" s="98">
        <f ca="1">ROUND($B$53 + $C$53*B59 + ($B$53+$C$53*B59)*$D$53*(RAND()-0.5)*2, 0)</f>
        <v>5433</v>
      </c>
    </row>
    <row r="60" spans="1:8" x14ac:dyDescent="0.25">
      <c r="A60" s="11" t="s">
        <v>142</v>
      </c>
      <c r="B60" s="98">
        <f ca="1">ROUND(MAX(0, 450*SIN(PI()*(5-1)/11 - PI()/4)^2 + RANDBETWEEN(-20,20)), 0)</f>
        <v>70</v>
      </c>
      <c r="C60" s="98">
        <f ca="1">ROUND($B$53 + $C$53*B60 + ($B$53+$C$53*B60)*$D$53*(RAND()-0.5)*2, 0)</f>
        <v>5409</v>
      </c>
    </row>
    <row r="61" spans="1:8" x14ac:dyDescent="0.25">
      <c r="A61" s="11" t="s">
        <v>143</v>
      </c>
      <c r="B61" s="98">
        <f ca="1">ROUND(MAX(0, 450*SIN(PI()*(6-1)/11 - PI()/4)^2 + RANDBETWEEN(-20,20)), 0)</f>
        <v>168</v>
      </c>
      <c r="C61" s="98">
        <f ca="1">ROUND($B$53 + $C$53*B61 + ($B$53+$C$53*B61)*$D$53*(RAND()-0.5)*2, 0)</f>
        <v>6864</v>
      </c>
    </row>
    <row r="62" spans="1:8" x14ac:dyDescent="0.25">
      <c r="A62" s="11" t="s">
        <v>144</v>
      </c>
      <c r="B62" s="98">
        <f ca="1">ROUND(MAX(0, 450*SIN(PI()*(7-1)/11 - PI()/4)^2 + RANDBETWEEN(-20,20)), 0)</f>
        <v>304</v>
      </c>
      <c r="C62" s="98">
        <f ca="1">ROUND($B$53 + $C$53*B62 + ($B$53+$C$53*B62)*$D$53*(RAND()-0.5)*2, 0)</f>
        <v>7831</v>
      </c>
    </row>
    <row r="63" spans="1:8" x14ac:dyDescent="0.25">
      <c r="A63" s="11" t="s">
        <v>145</v>
      </c>
      <c r="B63" s="98">
        <f ca="1">ROUND(MAX(0, 450*SIN(PI()*(8-1)/11 - PI()/4)^2 + RANDBETWEEN(-20,20)), 0)</f>
        <v>398</v>
      </c>
      <c r="C63" s="98">
        <f ca="1">ROUND($B$53 + $C$53*B63 + ($B$53+$C$53*B63)*$D$53*(RAND()-0.5)*2, 0)</f>
        <v>9397</v>
      </c>
    </row>
    <row r="64" spans="1:8" x14ac:dyDescent="0.25">
      <c r="A64" s="11" t="s">
        <v>146</v>
      </c>
      <c r="B64" s="98">
        <f ca="1">ROUND(MAX(0, 450*SIN(PI()*(9-1)/11 - PI()/4)^2 + RANDBETWEEN(-20,20)), 0)</f>
        <v>446</v>
      </c>
      <c r="C64" s="98">
        <f ca="1">ROUND($B$53 + $C$53*B64 + ($B$53+$C$53*B64)*$D$53*(RAND()-0.5)*2, 0)</f>
        <v>9778</v>
      </c>
    </row>
    <row r="65" spans="1:3" x14ac:dyDescent="0.25">
      <c r="A65" s="11" t="s">
        <v>147</v>
      </c>
      <c r="B65" s="98">
        <f ca="1">ROUND(MAX(0, 450*SIN(PI()*(10-1)/11 - PI()/4)^2 + RANDBETWEEN(-20,20)), 0)</f>
        <v>416</v>
      </c>
      <c r="C65" s="98">
        <f ca="1">ROUND($B$53 + $C$53*B65 + ($B$53+$C$53*B65)*$D$53*(RAND()-0.5)*2, 0)</f>
        <v>10001</v>
      </c>
    </row>
    <row r="66" spans="1:3" x14ac:dyDescent="0.25">
      <c r="A66" s="11" t="s">
        <v>148</v>
      </c>
      <c r="B66" s="98">
        <f ca="1">ROUND(MAX(0, 450*SIN(PI()*(11-1)/11 - PI()/4)^2 + RANDBETWEEN(-20,20)), 0)</f>
        <v>354</v>
      </c>
      <c r="C66" s="98">
        <f ca="1">ROUND($B$53 + $C$53*B66 + ($B$53+$C$53*B66)*$D$53*(RAND()-0.5)*2, 0)</f>
        <v>8006</v>
      </c>
    </row>
    <row r="67" spans="1:3" x14ac:dyDescent="0.25">
      <c r="A67" s="11" t="s">
        <v>149</v>
      </c>
      <c r="B67" s="98">
        <f ca="1">ROUND(MAX(0, 450*SIN(PI()*(12-1)/11 - PI()/4)^2 + RANDBETWEEN(-20,20)), 0)</f>
        <v>207</v>
      </c>
      <c r="C67" s="98">
        <f ca="1">ROUND($B$53 + $C$53*B67 + ($B$53+$C$53*B67)*$D$53*(RAND()-0.5)*2, 0)</f>
        <v>7454</v>
      </c>
    </row>
    <row r="69" spans="1:3" x14ac:dyDescent="0.25">
      <c r="A69" s="99" t="s">
        <v>188</v>
      </c>
    </row>
  </sheetData>
  <mergeCells count="3">
    <mergeCell ref="A1:H1"/>
    <mergeCell ref="A2:H2"/>
    <mergeCell ref="A3:H3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Least Squares Formula</vt:lpstr>
      <vt:lpstr>Student Explainer</vt:lpstr>
      <vt:lpstr>Worked Example</vt:lpstr>
      <vt:lpstr>Exercise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</dc:creator>
  <cp:keywords/>
  <dc:description/>
  <cp:lastModifiedBy>Steve Kromer</cp:lastModifiedBy>
  <cp:revision/>
  <dcterms:created xsi:type="dcterms:W3CDTF">2016-08-12T23:49:53Z</dcterms:created>
  <dcterms:modified xsi:type="dcterms:W3CDTF">2026-02-23T21:10:04Z</dcterms:modified>
  <cp:category/>
  <cp:contentStatus/>
</cp:coreProperties>
</file>